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3A882B4B-25A4-4163-A4AE-4C2AD4C53EBF}" xr6:coauthVersionLast="47" xr6:coauthVersionMax="47" xr10:uidLastSave="{00000000-0000-0000-0000-000000000000}"/>
  <bookViews>
    <workbookView xWindow="-120" yWindow="-120" windowWidth="20730" windowHeight="11040" activeTab="2" xr2:uid="{00000000-000D-0000-FFFF-FFFF00000000}"/>
  </bookViews>
  <sheets>
    <sheet name="Transactions" sheetId="1" r:id="rId1"/>
    <sheet name="calculation" sheetId="4" r:id="rId2"/>
    <sheet name="Dashboard" sheetId="5" r:id="rId3"/>
    <sheet name="Data Dictionary" sheetId="3" r:id="rId4"/>
  </sheets>
  <definedNames>
    <definedName name="city">Transactions!$E:$E</definedName>
    <definedName name="net">Transactions!$O:$O</definedName>
    <definedName name="or">TransactionsTable500[Order ID]</definedName>
    <definedName name="order">Transactions!$A:$A</definedName>
    <definedName name="orders">Transactions!$A$130:$A$501</definedName>
    <definedName name="profit">Transactions!$Q:$Q</definedName>
    <definedName name="region">Transactions!$F:$F</definedName>
    <definedName name="Slicer_Category1">#N/A</definedName>
    <definedName name="Slicer_Country1">#N/A</definedName>
    <definedName name="Slicer_Customer_Type">#N/A</definedName>
    <definedName name="Slicer_Payment_Method1">#N/A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X8" i="1" l="1"/>
  <c r="B4" i="4"/>
  <c r="J7" i="5" s="1"/>
  <c r="J40" i="5"/>
  <c r="J41" i="5"/>
  <c r="J42" i="5"/>
  <c r="J43" i="5"/>
  <c r="J44" i="5"/>
  <c r="J45" i="5"/>
  <c r="J46" i="5"/>
  <c r="I46" i="5"/>
  <c r="H46" i="5"/>
  <c r="G46" i="5"/>
  <c r="I45" i="5"/>
  <c r="H45" i="5"/>
  <c r="G45" i="5"/>
  <c r="I44" i="5"/>
  <c r="H44" i="5"/>
  <c r="G44" i="5"/>
  <c r="I43" i="5"/>
  <c r="H43" i="5"/>
  <c r="G43" i="5"/>
  <c r="I42" i="5"/>
  <c r="H42" i="5"/>
  <c r="G42" i="5"/>
  <c r="I41" i="5"/>
  <c r="H41" i="5"/>
  <c r="G41" i="5"/>
  <c r="I40" i="5"/>
  <c r="H40" i="5"/>
  <c r="G40" i="5"/>
  <c r="B6" i="4"/>
  <c r="P7" i="5" s="1"/>
  <c r="B5" i="4"/>
  <c r="M7" i="5" s="1"/>
  <c r="E84" i="4"/>
  <c r="E83" i="4"/>
  <c r="E82" i="4"/>
  <c r="E81" i="4"/>
  <c r="E80" i="4"/>
  <c r="E79" i="4"/>
  <c r="E78" i="4"/>
  <c r="D84" i="4"/>
  <c r="D83" i="4"/>
  <c r="D82" i="4"/>
  <c r="D81" i="4"/>
  <c r="D80" i="4"/>
  <c r="D79" i="4"/>
  <c r="D78" i="4"/>
  <c r="C84" i="4"/>
  <c r="C83" i="4"/>
  <c r="C82" i="4"/>
  <c r="C81" i="4"/>
  <c r="C80" i="4"/>
  <c r="C79" i="4"/>
  <c r="C78" i="4"/>
  <c r="B84" i="4"/>
  <c r="B83" i="4"/>
  <c r="B82" i="4"/>
  <c r="B81" i="4"/>
  <c r="B80" i="4"/>
  <c r="B79" i="4"/>
  <c r="B78" i="4"/>
  <c r="M2" i="1"/>
  <c r="B3" i="4"/>
  <c r="G7" i="5" s="1"/>
  <c r="B2" i="4"/>
  <c r="D7" i="5" s="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<sst xmlns="http://schemas.openxmlformats.org/spreadsheetml/2006/main" count="5661" uniqueCount="1053">
  <si>
    <t>Order ID</t>
  </si>
  <si>
    <t>Order Date</t>
  </si>
  <si>
    <t>Store ID</t>
  </si>
  <si>
    <t>Country</t>
  </si>
  <si>
    <t>Region</t>
  </si>
  <si>
    <t>City</t>
  </si>
  <si>
    <t>Product</t>
  </si>
  <si>
    <t>Category</t>
  </si>
  <si>
    <t>Units Sold</t>
  </si>
  <si>
    <t>Unit Price</t>
  </si>
  <si>
    <t>Gross Sales</t>
  </si>
  <si>
    <t>Discount %</t>
  </si>
  <si>
    <t>Discount Amount</t>
  </si>
  <si>
    <t>Net Sales</t>
  </si>
  <si>
    <t>COGS</t>
  </si>
  <si>
    <t>Profit</t>
  </si>
  <si>
    <t>Customer Type</t>
  </si>
  <si>
    <t>Payment Method</t>
  </si>
  <si>
    <t>Order Channel</t>
  </si>
  <si>
    <t>Customer Rating</t>
  </si>
  <si>
    <t>ORD500446</t>
  </si>
  <si>
    <t>2024-01-02</t>
  </si>
  <si>
    <t>ST023</t>
  </si>
  <si>
    <t>India</t>
  </si>
  <si>
    <t>Asia Pacific</t>
  </si>
  <si>
    <t>Bengaluru</t>
  </si>
  <si>
    <t>Frappe</t>
  </si>
  <si>
    <t>Cold Beverage</t>
  </si>
  <si>
    <t>Non-Member</t>
  </si>
  <si>
    <t>Credit Card</t>
  </si>
  <si>
    <t>In-Store</t>
  </si>
  <si>
    <t>ORD500267</t>
  </si>
  <si>
    <t>ST028</t>
  </si>
  <si>
    <t>UAE</t>
  </si>
  <si>
    <t>Middle East</t>
  </si>
  <si>
    <t>Dubai</t>
  </si>
  <si>
    <t>Debit Card</t>
  </si>
  <si>
    <t>Mobile App</t>
  </si>
  <si>
    <t>ORD500430</t>
  </si>
  <si>
    <t>2024-01-04</t>
  </si>
  <si>
    <t>ST029</t>
  </si>
  <si>
    <t>ORD500172</t>
  </si>
  <si>
    <t>ST016</t>
  </si>
  <si>
    <t>Germany</t>
  </si>
  <si>
    <t>Europe</t>
  </si>
  <si>
    <t>Munich</t>
  </si>
  <si>
    <t>Caesar Salad</t>
  </si>
  <si>
    <t>Food</t>
  </si>
  <si>
    <t>Member</t>
  </si>
  <si>
    <t>ORD500266</t>
  </si>
  <si>
    <t>2024-01-05</t>
  </si>
  <si>
    <t>ST020</t>
  </si>
  <si>
    <t>Mumbai</t>
  </si>
  <si>
    <t>Iced Tea</t>
  </si>
  <si>
    <t>ORD500397</t>
  </si>
  <si>
    <t>ST018</t>
  </si>
  <si>
    <t>Hamburg</t>
  </si>
  <si>
    <t>Ceramic Mug</t>
  </si>
  <si>
    <t>Merchandise</t>
  </si>
  <si>
    <t>ORD500199</t>
  </si>
  <si>
    <t>ST002</t>
  </si>
  <si>
    <t>USA</t>
  </si>
  <si>
    <t>North America</t>
  </si>
  <si>
    <t>New York</t>
  </si>
  <si>
    <t>Chocolate Chip Cookie</t>
  </si>
  <si>
    <t>Bakery</t>
  </si>
  <si>
    <t>Mobile Wallet</t>
  </si>
  <si>
    <t>ORD500158</t>
  </si>
  <si>
    <t>2024-01-06</t>
  </si>
  <si>
    <t>ST012</t>
  </si>
  <si>
    <t>UK</t>
  </si>
  <si>
    <t>Manchester</t>
  </si>
  <si>
    <t>Tumbler</t>
  </si>
  <si>
    <t>ORD500459</t>
  </si>
  <si>
    <t>2024-01-10</t>
  </si>
  <si>
    <t>ST013</t>
  </si>
  <si>
    <t>Birmingham</t>
  </si>
  <si>
    <t>Avocado Toast</t>
  </si>
  <si>
    <t>ORD500108</t>
  </si>
  <si>
    <t>2024-01-13</t>
  </si>
  <si>
    <t>ST021</t>
  </si>
  <si>
    <t>Delhi</t>
  </si>
  <si>
    <t>ORD500129</t>
  </si>
  <si>
    <t>2024-01-14</t>
  </si>
  <si>
    <t>ST007</t>
  </si>
  <si>
    <t>Seattle</t>
  </si>
  <si>
    <t>Cold Brew</t>
  </si>
  <si>
    <t>Cash</t>
  </si>
  <si>
    <t>ORD500120</t>
  </si>
  <si>
    <t>2024-01-15</t>
  </si>
  <si>
    <t>Drive-Thru</t>
  </si>
  <si>
    <t>ORD500148</t>
  </si>
  <si>
    <t>2024-01-16</t>
  </si>
  <si>
    <t>Bagel with Cream Cheese</t>
  </si>
  <si>
    <t>ORD500232</t>
  </si>
  <si>
    <t>ST019</t>
  </si>
  <si>
    <t>Corporate</t>
  </si>
  <si>
    <t>ORD500363</t>
  </si>
  <si>
    <t>2024-01-17</t>
  </si>
  <si>
    <t>Latte</t>
  </si>
  <si>
    <t>Hot Beverage</t>
  </si>
  <si>
    <t>ORD500453</t>
  </si>
  <si>
    <t>2024-01-18</t>
  </si>
  <si>
    <t>Iced Latte</t>
  </si>
  <si>
    <t>ORD500376</t>
  </si>
  <si>
    <t>ST008</t>
  </si>
  <si>
    <t>Espresso</t>
  </si>
  <si>
    <t>ORD500192</t>
  </si>
  <si>
    <t>2024-01-20</t>
  </si>
  <si>
    <t>ST030</t>
  </si>
  <si>
    <t>Abu Dhabi</t>
  </si>
  <si>
    <t>ORD500270</t>
  </si>
  <si>
    <t>Americano</t>
  </si>
  <si>
    <t>ORD500177</t>
  </si>
  <si>
    <t>2024-01-21</t>
  </si>
  <si>
    <t>ST014</t>
  </si>
  <si>
    <t>ORD500285</t>
  </si>
  <si>
    <t>2024-01-23</t>
  </si>
  <si>
    <t>ST024</t>
  </si>
  <si>
    <t>Australia</t>
  </si>
  <si>
    <t>Sydney</t>
  </si>
  <si>
    <t>ORD500279</t>
  </si>
  <si>
    <t>Granola Bowl</t>
  </si>
  <si>
    <t>ORD500398</t>
  </si>
  <si>
    <t>2024-01-24</t>
  </si>
  <si>
    <t>ORD500181</t>
  </si>
  <si>
    <t>2024-01-25</t>
  </si>
  <si>
    <t>ST022</t>
  </si>
  <si>
    <t>ORD500342</t>
  </si>
  <si>
    <t>ST004</t>
  </si>
  <si>
    <t>Chicago</t>
  </si>
  <si>
    <t>ORD500125</t>
  </si>
  <si>
    <t>2024-01-27</t>
  </si>
  <si>
    <t>ST025</t>
  </si>
  <si>
    <t>Melbourne</t>
  </si>
  <si>
    <t>ORD500072</t>
  </si>
  <si>
    <t>2024-01-30</t>
  </si>
  <si>
    <t>ORD500443</t>
  </si>
  <si>
    <t>2024-01-31</t>
  </si>
  <si>
    <t>ST011</t>
  </si>
  <si>
    <t>Whole Bean Coffee 250g</t>
  </si>
  <si>
    <t>ORD500121</t>
  </si>
  <si>
    <t>2024-02-01</t>
  </si>
  <si>
    <t>ST015</t>
  </si>
  <si>
    <t>Berlin</t>
  </si>
  <si>
    <t>ORD500290</t>
  </si>
  <si>
    <t>ORD500157</t>
  </si>
  <si>
    <t>2024-02-02</t>
  </si>
  <si>
    <t>ORD500032</t>
  </si>
  <si>
    <t>ORD500468</t>
  </si>
  <si>
    <t>2024-02-04</t>
  </si>
  <si>
    <t>ORD500144</t>
  </si>
  <si>
    <t>2024-02-07</t>
  </si>
  <si>
    <t>ORD500226</t>
  </si>
  <si>
    <t>2024-02-09</t>
  </si>
  <si>
    <t>ST006</t>
  </si>
  <si>
    <t>Houston</t>
  </si>
  <si>
    <t>Club Sandwich</t>
  </si>
  <si>
    <t>ORD500083</t>
  </si>
  <si>
    <t>2024-02-12</t>
  </si>
  <si>
    <t>ORD500244</t>
  </si>
  <si>
    <t>ORD500082</t>
  </si>
  <si>
    <t>2024-02-14</t>
  </si>
  <si>
    <t>ORD500165</t>
  </si>
  <si>
    <t>2024-02-15</t>
  </si>
  <si>
    <t>ST005</t>
  </si>
  <si>
    <t>ORD500444</t>
  </si>
  <si>
    <t>2024-02-17</t>
  </si>
  <si>
    <t>ORD500341</t>
  </si>
  <si>
    <t>Croissant</t>
  </si>
  <si>
    <t>ORD500472</t>
  </si>
  <si>
    <t>2024-02-18</t>
  </si>
  <si>
    <t>ORD500477</t>
  </si>
  <si>
    <t>ORD500005</t>
  </si>
  <si>
    <t>2024-02-19</t>
  </si>
  <si>
    <t>ORD500425</t>
  </si>
  <si>
    <t>2024-02-20</t>
  </si>
  <si>
    <t>ST017</t>
  </si>
  <si>
    <t>ORD500133</t>
  </si>
  <si>
    <t>ORD500065</t>
  </si>
  <si>
    <t>2024-02-21</t>
  </si>
  <si>
    <t>ORD500434</t>
  </si>
  <si>
    <t>2024-02-23</t>
  </si>
  <si>
    <t>ST027</t>
  </si>
  <si>
    <t>Canada</t>
  </si>
  <si>
    <t>Vancouver</t>
  </si>
  <si>
    <t>ORD500441</t>
  </si>
  <si>
    <t>2024-02-24</t>
  </si>
  <si>
    <t>ORD500442</t>
  </si>
  <si>
    <t>2024-02-26</t>
  </si>
  <si>
    <t>ORD500210</t>
  </si>
  <si>
    <t>2024-02-27</t>
  </si>
  <si>
    <t>ORD500147</t>
  </si>
  <si>
    <t>2024-02-28</t>
  </si>
  <si>
    <t>ORD500054</t>
  </si>
  <si>
    <t>2024-02-29</t>
  </si>
  <si>
    <t>ORD500487</t>
  </si>
  <si>
    <t>2024-03-01</t>
  </si>
  <si>
    <t>ORD500419</t>
  </si>
  <si>
    <t>ST010</t>
  </si>
  <si>
    <t>London</t>
  </si>
  <si>
    <t>ORD500435</t>
  </si>
  <si>
    <t>2024-03-03</t>
  </si>
  <si>
    <t>Cappuccino</t>
  </si>
  <si>
    <t>ORD500461</t>
  </si>
  <si>
    <t>2024-03-05</t>
  </si>
  <si>
    <t>ORD500384</t>
  </si>
  <si>
    <t>2024-03-06</t>
  </si>
  <si>
    <t>ORD500448</t>
  </si>
  <si>
    <t>ORD500200</t>
  </si>
  <si>
    <t>2024-03-09</t>
  </si>
  <si>
    <t>ORD500000</t>
  </si>
  <si>
    <t>ST026</t>
  </si>
  <si>
    <t>Toronto</t>
  </si>
  <si>
    <t>ORD500185</t>
  </si>
  <si>
    <t>2024-03-11</t>
  </si>
  <si>
    <t>ST003</t>
  </si>
  <si>
    <t>Los Angeles</t>
  </si>
  <si>
    <t>ORD500304</t>
  </si>
  <si>
    <t>ORD500440</t>
  </si>
  <si>
    <t>2024-03-12</t>
  </si>
  <si>
    <t>ST001</t>
  </si>
  <si>
    <t>ORD500463</t>
  </si>
  <si>
    <t>2024-03-15</t>
  </si>
  <si>
    <t>ORD500106</t>
  </si>
  <si>
    <t>2024-03-17</t>
  </si>
  <si>
    <t>ORD500063</t>
  </si>
  <si>
    <t>ORD500447</t>
  </si>
  <si>
    <t>Blueberry Muffin</t>
  </si>
  <si>
    <t>ORD500368</t>
  </si>
  <si>
    <t>2024-03-19</t>
  </si>
  <si>
    <t>Mocha</t>
  </si>
  <si>
    <t>ORD500079</t>
  </si>
  <si>
    <t>ORD500367</t>
  </si>
  <si>
    <t>ORD500134</t>
  </si>
  <si>
    <t>ORD500026</t>
  </si>
  <si>
    <t>2024-03-20</t>
  </si>
  <si>
    <t>ORD500420</t>
  </si>
  <si>
    <t>2024-03-24</t>
  </si>
  <si>
    <t>ORD500009</t>
  </si>
  <si>
    <t>2024-03-27</t>
  </si>
  <si>
    <t>ORD500241</t>
  </si>
  <si>
    <t>2024-03-28</t>
  </si>
  <si>
    <t>ORD500404</t>
  </si>
  <si>
    <t>ORD500142</t>
  </si>
  <si>
    <t>2024-03-29</t>
  </si>
  <si>
    <t>ORD500035</t>
  </si>
  <si>
    <t>2024-03-31</t>
  </si>
  <si>
    <t>ORD500014</t>
  </si>
  <si>
    <t>2024-04-01</t>
  </si>
  <si>
    <t>ORD500491</t>
  </si>
  <si>
    <t>ORD500357</t>
  </si>
  <si>
    <t>2024-04-04</t>
  </si>
  <si>
    <t>ORD500251</t>
  </si>
  <si>
    <t>ORD500136</t>
  </si>
  <si>
    <t>2024-04-07</t>
  </si>
  <si>
    <t>ORD500261</t>
  </si>
  <si>
    <t>ORD500421</t>
  </si>
  <si>
    <t>2024-04-12</t>
  </si>
  <si>
    <t>ORD500246</t>
  </si>
  <si>
    <t>2024-04-15</t>
  </si>
  <si>
    <t>ORD500091</t>
  </si>
  <si>
    <t>ORD500096</t>
  </si>
  <si>
    <t>2024-04-19</t>
  </si>
  <si>
    <t>ORD500313</t>
  </si>
  <si>
    <t>2024-04-21</t>
  </si>
  <si>
    <t>ORD500494</t>
  </si>
  <si>
    <t>2024-04-24</t>
  </si>
  <si>
    <t>ORD500242</t>
  </si>
  <si>
    <t>2024-04-27</t>
  </si>
  <si>
    <t>ST009</t>
  </si>
  <si>
    <t>ORD500074</t>
  </si>
  <si>
    <t>2024-04-28</t>
  </si>
  <si>
    <t>ORD500481</t>
  </si>
  <si>
    <t>2024-05-05</t>
  </si>
  <si>
    <t>ORD500127</t>
  </si>
  <si>
    <t>2024-05-06</t>
  </si>
  <si>
    <t>ORD500048</t>
  </si>
  <si>
    <t>2024-05-07</t>
  </si>
  <si>
    <t>ORD500130</t>
  </si>
  <si>
    <t>2024-05-09</t>
  </si>
  <si>
    <t>ORD500478</t>
  </si>
  <si>
    <t>ORD500030</t>
  </si>
  <si>
    <t>2024-05-11</t>
  </si>
  <si>
    <t>ORD500348</t>
  </si>
  <si>
    <t>2024-05-13</t>
  </si>
  <si>
    <t>ORD500044</t>
  </si>
  <si>
    <t>2024-05-16</t>
  </si>
  <si>
    <t>ORD500095</t>
  </si>
  <si>
    <t>ORD500015</t>
  </si>
  <si>
    <t>ORD500059</t>
  </si>
  <si>
    <t>2024-05-19</t>
  </si>
  <si>
    <t>ORD500409</t>
  </si>
  <si>
    <t>2024-05-22</t>
  </si>
  <si>
    <t>ORD500166</t>
  </si>
  <si>
    <t>2024-05-24</t>
  </si>
  <si>
    <t>ORD500195</t>
  </si>
  <si>
    <t>ORD500141</t>
  </si>
  <si>
    <t>2024-05-26</t>
  </si>
  <si>
    <t>ORD500087</t>
  </si>
  <si>
    <t>ORD500457</t>
  </si>
  <si>
    <t>2024-05-27</t>
  </si>
  <si>
    <t>ORD500076</t>
  </si>
  <si>
    <t>ORD500282</t>
  </si>
  <si>
    <t>2024-05-28</t>
  </si>
  <si>
    <t>ORD500356</t>
  </si>
  <si>
    <t>ORD500318</t>
  </si>
  <si>
    <t>2024-06-01</t>
  </si>
  <si>
    <t>ORD500231</t>
  </si>
  <si>
    <t>2024-06-02</t>
  </si>
  <si>
    <t>ORD500324</t>
  </si>
  <si>
    <t>ORD500077</t>
  </si>
  <si>
    <t>2024-06-03</t>
  </si>
  <si>
    <t>ORD500186</t>
  </si>
  <si>
    <t>2024-06-04</t>
  </si>
  <si>
    <t>ORD500302</t>
  </si>
  <si>
    <t>2024-06-05</t>
  </si>
  <si>
    <t>ORD500474</t>
  </si>
  <si>
    <t>2024-06-06</t>
  </si>
  <si>
    <t>ORD500388</t>
  </si>
  <si>
    <t>2024-06-08</t>
  </si>
  <si>
    <t>ORD500271</t>
  </si>
  <si>
    <t>ORD500352</t>
  </si>
  <si>
    <t>2024-06-10</t>
  </si>
  <si>
    <t>ORD500214</t>
  </si>
  <si>
    <t>2024-06-11</t>
  </si>
  <si>
    <t>ORD500119</t>
  </si>
  <si>
    <t>2024-06-14</t>
  </si>
  <si>
    <t>ORD500168</t>
  </si>
  <si>
    <t>ORD500298</t>
  </si>
  <si>
    <t>ORD500343</t>
  </si>
  <si>
    <t>2024-06-15</t>
  </si>
  <si>
    <t>ORD500088</t>
  </si>
  <si>
    <t>2024-06-16</t>
  </si>
  <si>
    <t>ORD500012</t>
  </si>
  <si>
    <t>2024-06-18</t>
  </si>
  <si>
    <t>ORD500387</t>
  </si>
  <si>
    <t>2024-06-19</t>
  </si>
  <si>
    <t>ORD500067</t>
  </si>
  <si>
    <t>ORD500237</t>
  </si>
  <si>
    <t>2024-06-20</t>
  </si>
  <si>
    <t>ORD500299</t>
  </si>
  <si>
    <t>ORD500438</t>
  </si>
  <si>
    <t>2024-06-21</t>
  </si>
  <si>
    <t>ORD500031</t>
  </si>
  <si>
    <t>2024-06-24</t>
  </si>
  <si>
    <t>ORD500414</t>
  </si>
  <si>
    <t>2024-06-25</t>
  </si>
  <si>
    <t>ORD500347</t>
  </si>
  <si>
    <t>ORD500327</t>
  </si>
  <si>
    <t>ORD500028</t>
  </si>
  <si>
    <t>2024-07-01</t>
  </si>
  <si>
    <t>ORD500400</t>
  </si>
  <si>
    <t>2024-07-02</t>
  </si>
  <si>
    <t>ORD500418</t>
  </si>
  <si>
    <t>ORD500179</t>
  </si>
  <si>
    <t>2024-07-03</t>
  </si>
  <si>
    <t>ORD500006</t>
  </si>
  <si>
    <t>ORD500380</t>
  </si>
  <si>
    <t>2024-07-04</t>
  </si>
  <si>
    <t>ORD500483</t>
  </si>
  <si>
    <t>ORD500090</t>
  </si>
  <si>
    <t>2024-07-05</t>
  </si>
  <si>
    <t>ORD500209</t>
  </si>
  <si>
    <t>2024-07-09</t>
  </si>
  <si>
    <t>ORD500408</t>
  </si>
  <si>
    <t>2024-07-10</t>
  </si>
  <si>
    <t>ORD500202</t>
  </si>
  <si>
    <t>2024-07-11</t>
  </si>
  <si>
    <t>ORD500495</t>
  </si>
  <si>
    <t>2024-07-13</t>
  </si>
  <si>
    <t>ORD500220</t>
  </si>
  <si>
    <t>2024-07-14</t>
  </si>
  <si>
    <t>ORD500060</t>
  </si>
  <si>
    <t>2024-07-15</t>
  </si>
  <si>
    <t>ORD500187</t>
  </si>
  <si>
    <t>2024-07-18</t>
  </si>
  <si>
    <t>ORD500286</t>
  </si>
  <si>
    <t>2024-07-19</t>
  </si>
  <si>
    <t>ORD500284</t>
  </si>
  <si>
    <t>ORD500075</t>
  </si>
  <si>
    <t>2024-07-21</t>
  </si>
  <si>
    <t>ORD500132</t>
  </si>
  <si>
    <t>2024-07-22</t>
  </si>
  <si>
    <t>ORD500081</t>
  </si>
  <si>
    <t>ORD500004</t>
  </si>
  <si>
    <t>2024-07-27</t>
  </si>
  <si>
    <t>ORD500403</t>
  </si>
  <si>
    <t>2024-07-28</t>
  </si>
  <si>
    <t>ORD500471</t>
  </si>
  <si>
    <t>2024-07-30</t>
  </si>
  <si>
    <t>ORD500196</t>
  </si>
  <si>
    <t>2024-08-01</t>
  </si>
  <si>
    <t>ORD500370</t>
  </si>
  <si>
    <t>2024-08-04</t>
  </si>
  <si>
    <t>ORD500173</t>
  </si>
  <si>
    <t>2024-08-05</t>
  </si>
  <si>
    <t>ORD500019</t>
  </si>
  <si>
    <t>2024-08-06</t>
  </si>
  <si>
    <t>ORD500207</t>
  </si>
  <si>
    <t>ORD500178</t>
  </si>
  <si>
    <t>2024-08-12</t>
  </si>
  <si>
    <t>ORD500046</t>
  </si>
  <si>
    <t>ORD500150</t>
  </si>
  <si>
    <t>ORD500003</t>
  </si>
  <si>
    <t>2024-08-13</t>
  </si>
  <si>
    <t>ORD500008</t>
  </si>
  <si>
    <t>2024-08-14</t>
  </si>
  <si>
    <t>ORD500217</t>
  </si>
  <si>
    <t>2024-08-15</t>
  </si>
  <si>
    <t>ORD500257</t>
  </si>
  <si>
    <t>2024-08-18</t>
  </si>
  <si>
    <t>ORD500176</t>
  </si>
  <si>
    <t>2024-08-19</t>
  </si>
  <si>
    <t>ORD500431</t>
  </si>
  <si>
    <t>2024-08-21</t>
  </si>
  <si>
    <t>ORD500252</t>
  </si>
  <si>
    <t>ORD500427</t>
  </si>
  <si>
    <t>2024-08-22</t>
  </si>
  <si>
    <t>ORD500212</t>
  </si>
  <si>
    <t>2024-08-24</t>
  </si>
  <si>
    <t>ORD500429</t>
  </si>
  <si>
    <t>ORD500011</t>
  </si>
  <si>
    <t>2024-08-28</t>
  </si>
  <si>
    <t>ORD500292</t>
  </si>
  <si>
    <t>2024-08-29</t>
  </si>
  <si>
    <t>ORD500258</t>
  </si>
  <si>
    <t>2024-08-30</t>
  </si>
  <si>
    <t>ORD500379</t>
  </si>
  <si>
    <t>2024-08-31</t>
  </si>
  <si>
    <t>ORD500412</t>
  </si>
  <si>
    <t>2024-09-01</t>
  </si>
  <si>
    <t>ORD500203</t>
  </si>
  <si>
    <t>2024-09-05</t>
  </si>
  <si>
    <t>ORD500093</t>
  </si>
  <si>
    <t>ORD500322</t>
  </si>
  <si>
    <t>2024-09-06</t>
  </si>
  <si>
    <t>ORD500146</t>
  </si>
  <si>
    <t>ORD500464</t>
  </si>
  <si>
    <t>2024-09-15</t>
  </si>
  <si>
    <t>ORD500433</t>
  </si>
  <si>
    <t>ORD500287</t>
  </si>
  <si>
    <t>ORD500339</t>
  </si>
  <si>
    <t>2024-09-16</t>
  </si>
  <si>
    <t>ORD500393</t>
  </si>
  <si>
    <t>ORD500066</t>
  </si>
  <si>
    <t>2024-09-19</t>
  </si>
  <si>
    <t>ORD500007</t>
  </si>
  <si>
    <t>2024-09-22</t>
  </si>
  <si>
    <t>ORD500017</t>
  </si>
  <si>
    <t>ORD500264</t>
  </si>
  <si>
    <t>2024-09-23</t>
  </si>
  <si>
    <t>ORD500295</t>
  </si>
  <si>
    <t>2024-09-24</t>
  </si>
  <si>
    <t>ORD500238</t>
  </si>
  <si>
    <t>2024-09-26</t>
  </si>
  <si>
    <t>ORD500218</t>
  </si>
  <si>
    <t>2024-09-27</t>
  </si>
  <si>
    <t>ORD500308</t>
  </si>
  <si>
    <t>2024-09-30</t>
  </si>
  <si>
    <t>ORD500171</t>
  </si>
  <si>
    <t>2024-10-01</t>
  </si>
  <si>
    <t>ORD500482</t>
  </si>
  <si>
    <t>2024-10-04</t>
  </si>
  <si>
    <t>ORD500018</t>
  </si>
  <si>
    <t>ORD500180</t>
  </si>
  <si>
    <t>2024-10-06</t>
  </si>
  <si>
    <t>ORD500051</t>
  </si>
  <si>
    <t>ORD500182</t>
  </si>
  <si>
    <t>2024-10-07</t>
  </si>
  <si>
    <t>ORD500473</t>
  </si>
  <si>
    <t>2024-10-10</t>
  </si>
  <si>
    <t>ORD500416</t>
  </si>
  <si>
    <t>2024-10-12</t>
  </si>
  <si>
    <t>ORD500191</t>
  </si>
  <si>
    <t>2024-10-14</t>
  </si>
  <si>
    <t>ORD500041</t>
  </si>
  <si>
    <t>ORD500151</t>
  </si>
  <si>
    <t>2024-10-15</t>
  </si>
  <si>
    <t>ORD500183</t>
  </si>
  <si>
    <t>2024-10-16</t>
  </si>
  <si>
    <t>ORD500193</t>
  </si>
  <si>
    <t>2024-10-17</t>
  </si>
  <si>
    <t>ORD500184</t>
  </si>
  <si>
    <t>2024-10-18</t>
  </si>
  <si>
    <t>ORD500064</t>
  </si>
  <si>
    <t>2024-10-20</t>
  </si>
  <si>
    <t>ORD500331</t>
  </si>
  <si>
    <t>2024-10-21</t>
  </si>
  <si>
    <t>ORD500248</t>
  </si>
  <si>
    <t>2024-10-22</t>
  </si>
  <si>
    <t>ORD500344</t>
  </si>
  <si>
    <t>2024-10-24</t>
  </si>
  <si>
    <t>ORD500139</t>
  </si>
  <si>
    <t>2024-10-26</t>
  </si>
  <si>
    <t>ORD500097</t>
  </si>
  <si>
    <t>2024-10-28</t>
  </si>
  <si>
    <t>ORD500411</t>
  </si>
  <si>
    <t>2024-10-29</t>
  </si>
  <si>
    <t>ORD500061</t>
  </si>
  <si>
    <t>2024-10-30</t>
  </si>
  <si>
    <t>ORD500128</t>
  </si>
  <si>
    <t>ORD500498</t>
  </si>
  <si>
    <t>2024-11-01</t>
  </si>
  <si>
    <t>ORD500254</t>
  </si>
  <si>
    <t>ORD500140</t>
  </si>
  <si>
    <t>2024-11-02</t>
  </si>
  <si>
    <t>ORD500045</t>
  </si>
  <si>
    <t>2024-11-05</t>
  </si>
  <si>
    <t>ORD500062</t>
  </si>
  <si>
    <t>ORD500099</t>
  </si>
  <si>
    <t>2024-11-07</t>
  </si>
  <si>
    <t>ORD500149</t>
  </si>
  <si>
    <t>ORD500488</t>
  </si>
  <si>
    <t>2024-11-10</t>
  </si>
  <si>
    <t>ORD500470</t>
  </si>
  <si>
    <t>2024-11-13</t>
  </si>
  <si>
    <t>ORD500029</t>
  </si>
  <si>
    <t>2024-11-14</t>
  </si>
  <si>
    <t>ORD500309</t>
  </si>
  <si>
    <t>2024-11-16</t>
  </si>
  <si>
    <t>ORD500216</t>
  </si>
  <si>
    <t>ORD500025</t>
  </si>
  <si>
    <t>2024-11-18</t>
  </si>
  <si>
    <t>ORD500100</t>
  </si>
  <si>
    <t>2024-11-20</t>
  </si>
  <si>
    <t>ORD500350</t>
  </si>
  <si>
    <t>2024-11-21</t>
  </si>
  <si>
    <t>ORD500085</t>
  </si>
  <si>
    <t>2024-11-22</t>
  </si>
  <si>
    <t>ORD500378</t>
  </si>
  <si>
    <t>2024-11-23</t>
  </si>
  <si>
    <t>ORD500490</t>
  </si>
  <si>
    <t>2024-11-25</t>
  </si>
  <si>
    <t>ORD500391</t>
  </si>
  <si>
    <t>2024-11-27</t>
  </si>
  <si>
    <t>ORD500126</t>
  </si>
  <si>
    <t>2024-11-28</t>
  </si>
  <si>
    <t>ORD500250</t>
  </si>
  <si>
    <t>ORD500351</t>
  </si>
  <si>
    <t>2024-11-30</t>
  </si>
  <si>
    <t>ORD500160</t>
  </si>
  <si>
    <t>2024-12-02</t>
  </si>
  <si>
    <t>ORD500383</t>
  </si>
  <si>
    <t>2024-12-03</t>
  </si>
  <si>
    <t>ORD500280</t>
  </si>
  <si>
    <t>2024-12-04</t>
  </si>
  <si>
    <t>ORD500497</t>
  </si>
  <si>
    <t>2024-12-05</t>
  </si>
  <si>
    <t>ORD500259</t>
  </si>
  <si>
    <t>2024-12-08</t>
  </si>
  <si>
    <t>ORD500364</t>
  </si>
  <si>
    <t>ORD500102</t>
  </si>
  <si>
    <t>2024-12-09</t>
  </si>
  <si>
    <t>ORD500105</t>
  </si>
  <si>
    <t>2024-12-12</t>
  </si>
  <si>
    <t>ORD500194</t>
  </si>
  <si>
    <t>2024-12-13</t>
  </si>
  <si>
    <t>ORD500336</t>
  </si>
  <si>
    <t>2024-12-14</t>
  </si>
  <si>
    <t>ORD500426</t>
  </si>
  <si>
    <t>2024-12-15</t>
  </si>
  <si>
    <t>ORD500382</t>
  </si>
  <si>
    <t>2024-12-16</t>
  </si>
  <si>
    <t>ORD500360</t>
  </si>
  <si>
    <t>2024-12-18</t>
  </si>
  <si>
    <t>ORD500089</t>
  </si>
  <si>
    <t>ORD500117</t>
  </si>
  <si>
    <t>2024-12-20</t>
  </si>
  <si>
    <t>ORD500034</t>
  </si>
  <si>
    <t>2024-12-22</t>
  </si>
  <si>
    <t>ORD500164</t>
  </si>
  <si>
    <t>2024-12-23</t>
  </si>
  <si>
    <t>ORD500227</t>
  </si>
  <si>
    <t>2024-12-29</t>
  </si>
  <si>
    <t>ORD500405</t>
  </si>
  <si>
    <t>2024-12-30</t>
  </si>
  <si>
    <t>ORD500114</t>
  </si>
  <si>
    <t>2024-12-31</t>
  </si>
  <si>
    <t>ORD500499</t>
  </si>
  <si>
    <t>2025-01-01</t>
  </si>
  <si>
    <t>ORD500294</t>
  </si>
  <si>
    <t>2025-01-11</t>
  </si>
  <si>
    <t>ORD500197</t>
  </si>
  <si>
    <t>2025-01-14</t>
  </si>
  <si>
    <t>ORD500198</t>
  </si>
  <si>
    <t>ORD500245</t>
  </si>
  <si>
    <t>2025-01-16</t>
  </si>
  <si>
    <t>ORD500053</t>
  </si>
  <si>
    <t>ORD500480</t>
  </si>
  <si>
    <t>2025-01-17</t>
  </si>
  <si>
    <t>ORD500056</t>
  </si>
  <si>
    <t>ORD500153</t>
  </si>
  <si>
    <t>2025-01-21</t>
  </si>
  <si>
    <t>ORD500432</t>
  </si>
  <si>
    <t>2025-01-24</t>
  </si>
  <si>
    <t>ORD500399</t>
  </si>
  <si>
    <t>2025-01-27</t>
  </si>
  <si>
    <t>ORD500118</t>
  </si>
  <si>
    <t>ORD500281</t>
  </si>
  <si>
    <t>2025-01-29</t>
  </si>
  <si>
    <t>ORD500361</t>
  </si>
  <si>
    <t>2025-01-30</t>
  </si>
  <si>
    <t>ORD500381</t>
  </si>
  <si>
    <t>2025-02-03</t>
  </si>
  <si>
    <t>ORD500390</t>
  </si>
  <si>
    <t>2025-02-05</t>
  </si>
  <si>
    <t>ORD500013</t>
  </si>
  <si>
    <t>2025-02-06</t>
  </si>
  <si>
    <t>ORD500109</t>
  </si>
  <si>
    <t>2025-02-07</t>
  </si>
  <si>
    <t>ORD500358</t>
  </si>
  <si>
    <t>2025-02-08</t>
  </si>
  <si>
    <t>ORD500375</t>
  </si>
  <si>
    <t>2025-02-12</t>
  </si>
  <si>
    <t>ORD500159</t>
  </si>
  <si>
    <t>2025-02-15</t>
  </si>
  <si>
    <t>ORD500055</t>
  </si>
  <si>
    <t>ORD500467</t>
  </si>
  <si>
    <t>2025-02-16</t>
  </si>
  <si>
    <t>ORD500373</t>
  </si>
  <si>
    <t>ORD500371</t>
  </si>
  <si>
    <t>2025-02-17</t>
  </si>
  <si>
    <t>ORD500316</t>
  </si>
  <si>
    <t>2025-02-19</t>
  </si>
  <si>
    <t>ORD500289</t>
  </si>
  <si>
    <t>2025-02-20</t>
  </si>
  <si>
    <t>ORD500205</t>
  </si>
  <si>
    <t>2025-02-21</t>
  </si>
  <si>
    <t>ORD500386</t>
  </si>
  <si>
    <t>2025-02-23</t>
  </si>
  <si>
    <t>ORD500333</t>
  </si>
  <si>
    <t>2025-02-26</t>
  </si>
  <si>
    <t>ORD500092</t>
  </si>
  <si>
    <t>2025-03-02</t>
  </si>
  <si>
    <t>ORD500337</t>
  </si>
  <si>
    <t>ORD500135</t>
  </si>
  <si>
    <t>2025-03-04</t>
  </si>
  <si>
    <t>ORD500204</t>
  </si>
  <si>
    <t>2025-03-08</t>
  </si>
  <si>
    <t>ORD500190</t>
  </si>
  <si>
    <t>ORD500452</t>
  </si>
  <si>
    <t>2025-03-10</t>
  </si>
  <si>
    <t>ORD500234</t>
  </si>
  <si>
    <t>2025-03-12</t>
  </si>
  <si>
    <t>ORD500221</t>
  </si>
  <si>
    <t>2025-03-13</t>
  </si>
  <si>
    <t>ORD500465</t>
  </si>
  <si>
    <t>2025-03-14</t>
  </si>
  <si>
    <t>ORD500277</t>
  </si>
  <si>
    <t>ORD500496</t>
  </si>
  <si>
    <t>2025-03-17</t>
  </si>
  <si>
    <t>ORD500262</t>
  </si>
  <si>
    <t>2025-03-20</t>
  </si>
  <si>
    <t>ORD500428</t>
  </si>
  <si>
    <t>2025-03-21</t>
  </si>
  <si>
    <t>ORD500323</t>
  </si>
  <si>
    <t>2025-03-22</t>
  </si>
  <si>
    <t>ORD500050</t>
  </si>
  <si>
    <t>2025-03-23</t>
  </si>
  <si>
    <t>ORD500143</t>
  </si>
  <si>
    <t>2025-03-24</t>
  </si>
  <si>
    <t>ORD500104</t>
  </si>
  <si>
    <t>2025-03-27</t>
  </si>
  <si>
    <t>ORD500024</t>
  </si>
  <si>
    <t>2025-03-29</t>
  </si>
  <si>
    <t>ORD500410</t>
  </si>
  <si>
    <t>ORD500263</t>
  </si>
  <si>
    <t>2025-03-30</t>
  </si>
  <si>
    <t>ORD500155</t>
  </si>
  <si>
    <t>2025-03-31</t>
  </si>
  <si>
    <t>ORD500456</t>
  </si>
  <si>
    <t>2025-04-02</t>
  </si>
  <si>
    <t>ORD500310</t>
  </si>
  <si>
    <t>2025-04-03</t>
  </si>
  <si>
    <t>ORD500078</t>
  </si>
  <si>
    <t>ORD500385</t>
  </si>
  <si>
    <t>ORD500335</t>
  </si>
  <si>
    <t>2025-04-04</t>
  </si>
  <si>
    <t>ORD500211</t>
  </si>
  <si>
    <t>2025-04-05</t>
  </si>
  <si>
    <t>ORD500275</t>
  </si>
  <si>
    <t>ORD500084</t>
  </si>
  <si>
    <t>2025-04-06</t>
  </si>
  <si>
    <t>ORD500215</t>
  </si>
  <si>
    <t>ORD500485</t>
  </si>
  <si>
    <t>ORD500319</t>
  </si>
  <si>
    <t>2025-04-09</t>
  </si>
  <si>
    <t>ORD500161</t>
  </si>
  <si>
    <t>2025-04-11</t>
  </si>
  <si>
    <t>ORD500219</t>
  </si>
  <si>
    <t>ORD500027</t>
  </si>
  <si>
    <t>2025-04-13</t>
  </si>
  <si>
    <t>ORD500206</t>
  </si>
  <si>
    <t>ORD500111</t>
  </si>
  <si>
    <t>2025-04-14</t>
  </si>
  <si>
    <t>ORD500423</t>
  </si>
  <si>
    <t>2025-04-15</t>
  </si>
  <si>
    <t>ORD500328</t>
  </si>
  <si>
    <t>2025-04-17</t>
  </si>
  <si>
    <t>ORD500236</t>
  </si>
  <si>
    <t>ORD500247</t>
  </si>
  <si>
    <t>ORD500479</t>
  </si>
  <si>
    <t>2025-04-18</t>
  </si>
  <si>
    <t>ORD500189</t>
  </si>
  <si>
    <t>2025-04-20</t>
  </si>
  <si>
    <t>ORD500424</t>
  </si>
  <si>
    <t>2025-04-24</t>
  </si>
  <si>
    <t>ORD500338</t>
  </si>
  <si>
    <t>ORD500058</t>
  </si>
  <si>
    <t>2025-04-26</t>
  </si>
  <si>
    <t>ORD500001</t>
  </si>
  <si>
    <t>ORD500112</t>
  </si>
  <si>
    <t>2025-04-28</t>
  </si>
  <si>
    <t>ORD500098</t>
  </si>
  <si>
    <t>ORD500154</t>
  </si>
  <si>
    <t>ORD500354</t>
  </si>
  <si>
    <t>2025-05-02</t>
  </si>
  <si>
    <t>ORD500131</t>
  </si>
  <si>
    <t>2025-05-03</t>
  </si>
  <si>
    <t>ORD500340</t>
  </si>
  <si>
    <t>2025-05-04</t>
  </si>
  <si>
    <t>ORD500069</t>
  </si>
  <si>
    <t>2025-05-06</t>
  </si>
  <si>
    <t>ORD500297</t>
  </si>
  <si>
    <t>2025-05-07</t>
  </si>
  <si>
    <t>ORD500021</t>
  </si>
  <si>
    <t>2025-05-09</t>
  </si>
  <si>
    <t>ORD500169</t>
  </si>
  <si>
    <t>2025-05-10</t>
  </si>
  <si>
    <t>ORD500320</t>
  </si>
  <si>
    <t>2025-05-12</t>
  </si>
  <si>
    <t>ORD500233</t>
  </si>
  <si>
    <t>2025-05-13</t>
  </si>
  <si>
    <t>ORD500239</t>
  </si>
  <si>
    <t>2025-05-14</t>
  </si>
  <si>
    <t>ORD500103</t>
  </si>
  <si>
    <t>2025-05-17</t>
  </si>
  <si>
    <t>ORD500395</t>
  </si>
  <si>
    <t>2025-05-19</t>
  </si>
  <si>
    <t>ORD500458</t>
  </si>
  <si>
    <t>2025-05-20</t>
  </si>
  <si>
    <t>ORD500265</t>
  </si>
  <si>
    <t>2025-05-23</t>
  </si>
  <si>
    <t>ORD500138</t>
  </si>
  <si>
    <t>ORD500484</t>
  </si>
  <si>
    <t>2025-05-26</t>
  </si>
  <si>
    <t>ORD500325</t>
  </si>
  <si>
    <t>2025-05-30</t>
  </si>
  <si>
    <t>ORD500042</t>
  </si>
  <si>
    <t>ORD500276</t>
  </si>
  <si>
    <t>2025-05-31</t>
  </si>
  <si>
    <t>ORD500311</t>
  </si>
  <si>
    <t>2025-06-03</t>
  </si>
  <si>
    <t>ORD500201</t>
  </si>
  <si>
    <t>2025-06-07</t>
  </si>
  <si>
    <t>ORD500163</t>
  </si>
  <si>
    <t>2025-06-13</t>
  </si>
  <si>
    <t>ORD500223</t>
  </si>
  <si>
    <t>2025-06-15</t>
  </si>
  <si>
    <t>ORD500454</t>
  </si>
  <si>
    <t>2025-06-17</t>
  </si>
  <si>
    <t>ORD500038</t>
  </si>
  <si>
    <t>2025-06-20</t>
  </si>
  <si>
    <t>ORD500272</t>
  </si>
  <si>
    <t>2025-06-21</t>
  </si>
  <si>
    <t>ORD500475</t>
  </si>
  <si>
    <t>ORD500369</t>
  </si>
  <si>
    <t>2025-06-23</t>
  </si>
  <si>
    <t>ORD500043</t>
  </si>
  <si>
    <t>2025-06-26</t>
  </si>
  <si>
    <t>ORD500321</t>
  </si>
  <si>
    <t>2025-06-29</t>
  </si>
  <si>
    <t>ORD500068</t>
  </si>
  <si>
    <t>2025-07-01</t>
  </si>
  <si>
    <t>ORD500303</t>
  </si>
  <si>
    <t>2025-07-02</t>
  </si>
  <si>
    <t>ORD500305</t>
  </si>
  <si>
    <t>2025-07-09</t>
  </si>
  <si>
    <t>ORD500243</t>
  </si>
  <si>
    <t>2025-07-10</t>
  </si>
  <si>
    <t>ORD500253</t>
  </si>
  <si>
    <t>ORD500401</t>
  </si>
  <si>
    <t>2025-07-14</t>
  </si>
  <si>
    <t>ORD500023</t>
  </si>
  <si>
    <t>2025-07-15</t>
  </si>
  <si>
    <t>ORD500283</t>
  </si>
  <si>
    <t>ORD500462</t>
  </si>
  <si>
    <t>2025-07-17</t>
  </si>
  <si>
    <t>ORD500406</t>
  </si>
  <si>
    <t>2025-07-18</t>
  </si>
  <si>
    <t>ORD500413</t>
  </si>
  <si>
    <t>2025-07-19</t>
  </si>
  <si>
    <t>ORD500449</t>
  </si>
  <si>
    <t>2025-07-20</t>
  </si>
  <si>
    <t>ORD500002</t>
  </si>
  <si>
    <t>ORD500439</t>
  </si>
  <si>
    <t>2025-07-22</t>
  </si>
  <si>
    <t>ORD500175</t>
  </si>
  <si>
    <t>2025-07-23</t>
  </si>
  <si>
    <t>ORD500022</t>
  </si>
  <si>
    <t>ORD500052</t>
  </si>
  <si>
    <t>2025-07-24</t>
  </si>
  <si>
    <t>ORD500407</t>
  </si>
  <si>
    <t>ORD500036</t>
  </si>
  <si>
    <t>2025-07-25</t>
  </si>
  <si>
    <t>ORD500040</t>
  </si>
  <si>
    <t>2025-07-26</t>
  </si>
  <si>
    <t>ORD500273</t>
  </si>
  <si>
    <t>ORD500101</t>
  </si>
  <si>
    <t>ORD500174</t>
  </si>
  <si>
    <t>2025-07-27</t>
  </si>
  <si>
    <t>ORD500240</t>
  </si>
  <si>
    <t>2025-07-28</t>
  </si>
  <si>
    <t>ORD500256</t>
  </si>
  <si>
    <t>2025-07-30</t>
  </si>
  <si>
    <t>ORD500224</t>
  </si>
  <si>
    <t>2025-08-01</t>
  </si>
  <si>
    <t>ORD500492</t>
  </si>
  <si>
    <t>ORD500268</t>
  </si>
  <si>
    <t>2025-08-03</t>
  </si>
  <si>
    <t>ORD500307</t>
  </si>
  <si>
    <t>ORD500188</t>
  </si>
  <si>
    <t>ORD500450</t>
  </si>
  <si>
    <t>2025-08-05</t>
  </si>
  <si>
    <t>ORD500334</t>
  </si>
  <si>
    <t>2025-08-06</t>
  </si>
  <si>
    <t>ORD500296</t>
  </si>
  <si>
    <t>ORD500451</t>
  </si>
  <si>
    <t>2025-08-09</t>
  </si>
  <si>
    <t>ORD500071</t>
  </si>
  <si>
    <t>2025-08-11</t>
  </si>
  <si>
    <t>ORD500115</t>
  </si>
  <si>
    <t>ORD500306</t>
  </si>
  <si>
    <t>2025-08-13</t>
  </si>
  <si>
    <t>ORD500162</t>
  </si>
  <si>
    <t>2025-08-15</t>
  </si>
  <si>
    <t>ORD500489</t>
  </si>
  <si>
    <t>2025-08-16</t>
  </si>
  <si>
    <t>ORD500332</t>
  </si>
  <si>
    <t>ORD500122</t>
  </si>
  <si>
    <t>2025-08-17</t>
  </si>
  <si>
    <t>ORD500156</t>
  </si>
  <si>
    <t>2025-08-20</t>
  </si>
  <si>
    <t>ORD500110</t>
  </si>
  <si>
    <t>2025-08-21</t>
  </si>
  <si>
    <t>ORD500402</t>
  </si>
  <si>
    <t>2025-08-22</t>
  </si>
  <si>
    <t>ORD500301</t>
  </si>
  <si>
    <t>2025-08-23</t>
  </si>
  <si>
    <t>ORD500437</t>
  </si>
  <si>
    <t>2025-08-24</t>
  </si>
  <si>
    <t>ORD500152</t>
  </si>
  <si>
    <t>ORD500222</t>
  </si>
  <si>
    <t>2025-08-27</t>
  </si>
  <si>
    <t>ORD500094</t>
  </si>
  <si>
    <t>2025-08-28</t>
  </si>
  <si>
    <t>ORD500460</t>
  </si>
  <si>
    <t>2025-08-30</t>
  </si>
  <si>
    <t>ORD500213</t>
  </si>
  <si>
    <t>ORD500345</t>
  </si>
  <si>
    <t>ORD500372</t>
  </si>
  <si>
    <t>2025-08-31</t>
  </si>
  <si>
    <t>ORD500020</t>
  </si>
  <si>
    <t>ORD500349</t>
  </si>
  <si>
    <t>2025-09-05</t>
  </si>
  <si>
    <t>ORD500445</t>
  </si>
  <si>
    <t>2025-09-08</t>
  </si>
  <si>
    <t>ORD500330</t>
  </si>
  <si>
    <t>2025-09-09</t>
  </si>
  <si>
    <t>ORD500107</t>
  </si>
  <si>
    <t>2025-09-10</t>
  </si>
  <si>
    <t>ORD500269</t>
  </si>
  <si>
    <t>2025-09-11</t>
  </si>
  <si>
    <t>ORD500057</t>
  </si>
  <si>
    <t>2025-09-13</t>
  </si>
  <si>
    <t>ORD500493</t>
  </si>
  <si>
    <t>2025-09-15</t>
  </si>
  <si>
    <t>ORD500466</t>
  </si>
  <si>
    <t>2025-09-18</t>
  </si>
  <si>
    <t>ORD500086</t>
  </si>
  <si>
    <t>ORD500346</t>
  </si>
  <si>
    <t>ORD500228</t>
  </si>
  <si>
    <t>2025-09-20</t>
  </si>
  <si>
    <t>ORD500355</t>
  </si>
  <si>
    <t>ORD500377</t>
  </si>
  <si>
    <t>2025-09-21</t>
  </si>
  <si>
    <t>ORD500394</t>
  </si>
  <si>
    <t>ORD500137</t>
  </si>
  <si>
    <t>2025-09-22</t>
  </si>
  <si>
    <t>ORD500486</t>
  </si>
  <si>
    <t>2025-09-23</t>
  </si>
  <si>
    <t>ORD500415</t>
  </si>
  <si>
    <t>ORD500278</t>
  </si>
  <si>
    <t>2025-09-26</t>
  </si>
  <si>
    <t>ORD500230</t>
  </si>
  <si>
    <t>ORD500291</t>
  </si>
  <si>
    <t>2025-09-27</t>
  </si>
  <si>
    <t>ORD500116</t>
  </si>
  <si>
    <t>2025-09-29</t>
  </si>
  <si>
    <t>ORD500417</t>
  </si>
  <si>
    <t>2025-10-01</t>
  </si>
  <si>
    <t>ORD500293</t>
  </si>
  <si>
    <t>2025-10-04</t>
  </si>
  <si>
    <t>ORD500317</t>
  </si>
  <si>
    <t>2025-10-07</t>
  </si>
  <si>
    <t>ORD500329</t>
  </si>
  <si>
    <t>ORD500080</t>
  </si>
  <si>
    <t>2025-10-08</t>
  </si>
  <si>
    <t>ORD500039</t>
  </si>
  <si>
    <t>2025-10-10</t>
  </si>
  <si>
    <t>ORD500123</t>
  </si>
  <si>
    <t>2025-10-12</t>
  </si>
  <si>
    <t>ORD500047</t>
  </si>
  <si>
    <t>ORD500113</t>
  </si>
  <si>
    <t>2025-10-14</t>
  </si>
  <si>
    <t>ORD500145</t>
  </si>
  <si>
    <t>2025-10-18</t>
  </si>
  <si>
    <t>ORD500374</t>
  </si>
  <si>
    <t>2025-10-19</t>
  </si>
  <si>
    <t>ORD500288</t>
  </si>
  <si>
    <t>2025-10-21</t>
  </si>
  <si>
    <t>ORD500255</t>
  </si>
  <si>
    <t>ORD500455</t>
  </si>
  <si>
    <t>2025-10-23</t>
  </si>
  <si>
    <t>ORD500033</t>
  </si>
  <si>
    <t>2025-10-25</t>
  </si>
  <si>
    <t>ORD500016</t>
  </si>
  <si>
    <t>ORD500389</t>
  </si>
  <si>
    <t>2025-10-31</t>
  </si>
  <si>
    <t>ORD500010</t>
  </si>
  <si>
    <t>2025-11-01</t>
  </si>
  <si>
    <t>ORD500436</t>
  </si>
  <si>
    <t>2025-11-02</t>
  </si>
  <si>
    <t>ORD500235</t>
  </si>
  <si>
    <t>2025-11-03</t>
  </si>
  <si>
    <t>ORD500476</t>
  </si>
  <si>
    <t>2025-11-05</t>
  </si>
  <si>
    <t>ORD500366</t>
  </si>
  <si>
    <t>ORD500225</t>
  </si>
  <si>
    <t>2025-11-08</t>
  </si>
  <si>
    <t>ORD500362</t>
  </si>
  <si>
    <t>ORD500365</t>
  </si>
  <si>
    <t>ORD500315</t>
  </si>
  <si>
    <t>2025-11-10</t>
  </si>
  <si>
    <t>ORD500170</t>
  </si>
  <si>
    <t>2025-11-15</t>
  </si>
  <si>
    <t>ORD500353</t>
  </si>
  <si>
    <t>2025-11-17</t>
  </si>
  <si>
    <t>ORD500073</t>
  </si>
  <si>
    <t>2025-11-19</t>
  </si>
  <si>
    <t>ORD500274</t>
  </si>
  <si>
    <t>ORD500070</t>
  </si>
  <si>
    <t>2025-11-20</t>
  </si>
  <si>
    <t>ORD500392</t>
  </si>
  <si>
    <t>2025-11-21</t>
  </si>
  <si>
    <t>ORD500314</t>
  </si>
  <si>
    <t>2025-11-22</t>
  </si>
  <si>
    <t>ORD500049</t>
  </si>
  <si>
    <t>2025-11-23</t>
  </si>
  <si>
    <t>ORD500326</t>
  </si>
  <si>
    <t>2025-11-24</t>
  </si>
  <si>
    <t>ORD500359</t>
  </si>
  <si>
    <t>2025-11-25</t>
  </si>
  <si>
    <t>ORD500037</t>
  </si>
  <si>
    <t>2025-11-29</t>
  </si>
  <si>
    <t>ORD500469</t>
  </si>
  <si>
    <t>ORD500422</t>
  </si>
  <si>
    <t>ORD500312</t>
  </si>
  <si>
    <t>2025-11-30</t>
  </si>
  <si>
    <t>ORD500300</t>
  </si>
  <si>
    <t>2025-12-06</t>
  </si>
  <si>
    <t>ORD500396</t>
  </si>
  <si>
    <t>2025-12-07</t>
  </si>
  <si>
    <t>ORD500208</t>
  </si>
  <si>
    <t>2025-12-11</t>
  </si>
  <si>
    <t>ORD500167</t>
  </si>
  <si>
    <t>2025-12-16</t>
  </si>
  <si>
    <t>ORD500260</t>
  </si>
  <si>
    <t>2025-12-17</t>
  </si>
  <si>
    <t>ORD500229</t>
  </si>
  <si>
    <t>2025-12-19</t>
  </si>
  <si>
    <t>ORD500249</t>
  </si>
  <si>
    <t>2025-12-24</t>
  </si>
  <si>
    <t>ORD500124</t>
  </si>
  <si>
    <t>2025-12-25</t>
  </si>
  <si>
    <t>Column</t>
  </si>
  <si>
    <t>Description</t>
  </si>
  <si>
    <t>Unique transaction identifier</t>
  </si>
  <si>
    <t>Date the order was placed (2024-01-01 to 2025-12-31)</t>
  </si>
  <si>
    <t>Unique store identifier, links to Store Reference sheet</t>
  </si>
  <si>
    <t>Country where the store is located</t>
  </si>
  <si>
    <t>Business region grouping (North America, Europe, Asia Pacific, Middle East)</t>
  </si>
  <si>
    <t>City where the store is located</t>
  </si>
  <si>
    <t>Item sold</t>
  </si>
  <si>
    <t>Product category: Hot Beverage, Cold Beverage, Bakery, Food, Merchandise</t>
  </si>
  <si>
    <t>Quantity of the product sold in this transaction</t>
  </si>
  <si>
    <t>Price per unit ($)</t>
  </si>
  <si>
    <t>Units Sold x Unit Price, before discount ($)</t>
  </si>
  <si>
    <t>Discount rate applied to this transaction</t>
  </si>
  <si>
    <t>Dollar value of the discount ($)</t>
  </si>
  <si>
    <t>Gross Sales minus Discount Amount ($) — use this as Revenue</t>
  </si>
  <si>
    <t>Cost of goods sold ($)</t>
  </si>
  <si>
    <t>Net Sales minus COGS ($)</t>
  </si>
  <si>
    <t>Member, Non-Member, or Corporate account</t>
  </si>
  <si>
    <t>Credit Card, Mobile Wallet, Cash, or Debit Card</t>
  </si>
  <si>
    <t>In-Store, Mobile App, or Drive-Thru</t>
  </si>
  <si>
    <t>Customer satisfaction rating, 1 (low) to 5 (high)</t>
  </si>
  <si>
    <t>card base KPIS</t>
  </si>
  <si>
    <t xml:space="preserve">total net sales </t>
  </si>
  <si>
    <t>Total Profit</t>
  </si>
  <si>
    <t>Total Orders</t>
  </si>
  <si>
    <t xml:space="preserve">Average Order Value </t>
  </si>
  <si>
    <t>chart base KPIs</t>
  </si>
  <si>
    <t>Row Labels</t>
  </si>
  <si>
    <t>Grand Total</t>
  </si>
  <si>
    <t>Sum of Net Sales</t>
  </si>
  <si>
    <t>Sum of Profit</t>
  </si>
  <si>
    <t>month_order</t>
  </si>
  <si>
    <t>Jan</t>
  </si>
  <si>
    <t>Feb</t>
  </si>
  <si>
    <t>Mar</t>
  </si>
  <si>
    <t>Apr</t>
  </si>
  <si>
    <t>May</t>
  </si>
  <si>
    <t>Jun</t>
  </si>
  <si>
    <t>Jul</t>
  </si>
  <si>
    <t>Aug</t>
  </si>
  <si>
    <t>Sep</t>
  </si>
  <si>
    <t>Oct</t>
  </si>
  <si>
    <t>Nov</t>
  </si>
  <si>
    <t>Dec</t>
  </si>
  <si>
    <t xml:space="preserve"> Monthly Net Sales </t>
  </si>
  <si>
    <t>profit by Category</t>
  </si>
  <si>
    <t>net sales by region</t>
  </si>
  <si>
    <t>net sales by payment</t>
  </si>
  <si>
    <t>Table based kpis</t>
  </si>
  <si>
    <t>Orders</t>
  </si>
  <si>
    <t>Avg Rating</t>
  </si>
  <si>
    <t xml:space="preserve">canada </t>
  </si>
  <si>
    <t>germany</t>
  </si>
  <si>
    <t xml:space="preserve">India </t>
  </si>
  <si>
    <t>Count of Order ID</t>
  </si>
  <si>
    <t>Average of Customer Rating</t>
  </si>
  <si>
    <t>GLOBAL BREW DASHBOARD</t>
  </si>
  <si>
    <t>Total Net Sale</t>
  </si>
  <si>
    <t>💰</t>
  </si>
  <si>
    <t>📈</t>
  </si>
  <si>
    <t>🛒</t>
  </si>
  <si>
    <t>🧾</t>
  </si>
  <si>
    <t>📊</t>
  </si>
  <si>
    <t>Average Customer Rating</t>
  </si>
  <si>
    <t xml:space="preserve">Canada </t>
  </si>
  <si>
    <t>onkar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</si>
</sst>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quot;₹&quot;\ #,##0.00"/>
    <numFmt numFmtId="166" formatCode="&quot;₹&quot;\ #,##0.0"/>
    <numFmt numFmtId="167" formatCode="0.0"/>
  </numFmts>
  <fonts count="13" x14ac:knownFonts="1">
    <font>
      <sz val="11"/>
      <color theme="1"/>
      <name val="Calibri"/>
      <family val="2"/>
      <scheme val="minor"/>
    </font>
    <font>
      <b/>
      <sz val="10"/>
      <color rgb="FFFFFFFF"/>
      <name val="Arial"/>
    </font>
    <font>
      <sz val="10"/>
      <name val="Arial"/>
    </font>
    <font>
      <sz val="14"/>
      <color theme="1"/>
      <name val="Calibri"/>
      <family val="2"/>
      <scheme val="minor"/>
    </font>
    <font>
      <b/>
      <sz val="14"/>
      <color theme="1"/>
      <name val="Aptos Display"/>
      <family val="2"/>
    </font>
    <font>
      <b/>
      <sz val="12"/>
      <color theme="1"/>
      <name val="Aptos Display"/>
      <family val="2"/>
    </font>
    <font>
      <b/>
      <sz val="14"/>
      <color theme="1"/>
      <name val="Aptos Narrow"/>
      <family val="2"/>
    </font>
    <font>
      <b/>
      <i/>
      <sz val="12"/>
      <color theme="1"/>
      <name val="Aptos Display"/>
      <family val="2"/>
    </font>
    <font>
      <b/>
      <sz val="26"/>
      <color theme="1"/>
      <name val="Copperplate Gothic Bold"/>
      <family val="2"/>
    </font>
    <font>
      <sz val="18"/>
      <color theme="1"/>
      <name val="Aptos Display"/>
      <family val="2"/>
    </font>
    <font>
      <sz val="20"/>
      <color theme="1"/>
      <name val="Aptos Display"/>
      <family val="2"/>
    </font>
    <font>
      <b/>
      <sz val="18"/>
      <color theme="1"/>
      <name val="Aptos Display"/>
      <family val="2"/>
    </font>
    <font>
      <b/>
      <sz val="18"/>
      <color theme="1"/>
      <name val="Aptos Narrow"/>
      <family val="2"/>
    </font>
  </fonts>
  <fills count="7">
    <fill>
      <patternFill patternType="none"/>
    </fill>
    <fill>
      <patternFill patternType="gray125"/>
    </fill>
    <fill>
      <patternFill patternType="solid">
        <fgColor rgb="FF2F5233"/>
        <bgColor rgb="FF2F5233"/>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3">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9" fontId="2" fillId="0" borderId="0" xfId="0" applyNumberFormat="1" applyFont="1"/>
    <xf numFmtId="0" fontId="1" fillId="2" borderId="0" xfId="0" applyFont="1" applyFill="1"/>
    <xf numFmtId="0" fontId="2" fillId="0" borderId="0" xfId="0" applyFont="1" applyAlignment="1">
      <alignment vertical="top" wrapText="1"/>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5" fillId="0" borderId="0" xfId="0" applyFont="1"/>
    <xf numFmtId="0" fontId="7" fillId="0" borderId="0" xfId="0" applyFont="1"/>
    <xf numFmtId="0" fontId="0" fillId="4" borderId="8" xfId="0" applyFill="1" applyBorder="1"/>
    <xf numFmtId="0" fontId="0" fillId="4" borderId="0" xfId="0" applyFill="1"/>
    <xf numFmtId="0" fontId="0" fillId="4" borderId="9" xfId="0" applyFill="1" applyBorder="1"/>
    <xf numFmtId="0" fontId="7" fillId="4" borderId="9" xfId="0" applyFont="1" applyFill="1" applyBorder="1"/>
    <xf numFmtId="0" fontId="5" fillId="4" borderId="9" xfId="0" applyFont="1" applyFill="1" applyBorder="1" applyAlignment="1">
      <alignment horizontal="center"/>
    </xf>
    <xf numFmtId="0" fontId="0" fillId="4" borderId="5" xfId="0" applyFill="1" applyBorder="1"/>
    <xf numFmtId="0" fontId="0" fillId="4" borderId="6" xfId="0" applyFill="1" applyBorder="1"/>
    <xf numFmtId="0" fontId="0" fillId="4" borderId="7" xfId="0" applyFill="1" applyBorder="1"/>
    <xf numFmtId="0" fontId="3" fillId="5" borderId="1" xfId="0" applyFont="1" applyFill="1" applyBorder="1" applyAlignment="1">
      <alignment horizontal="center" vertical="center"/>
    </xf>
    <xf numFmtId="2" fontId="3" fillId="5"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9"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5" borderId="1" xfId="0" applyFont="1" applyFill="1" applyBorder="1" applyAlignment="1">
      <alignment horizontal="center" vertical="center"/>
    </xf>
    <xf numFmtId="2" fontId="11" fillId="5" borderId="1" xfId="0" applyNumberFormat="1" applyFont="1" applyFill="1" applyBorder="1" applyAlignment="1">
      <alignment horizontal="center" vertical="center"/>
    </xf>
    <xf numFmtId="167" fontId="11" fillId="5" borderId="1" xfId="0" applyNumberFormat="1" applyFont="1" applyFill="1" applyBorder="1" applyAlignment="1">
      <alignment horizontal="center" vertical="center"/>
    </xf>
    <xf numFmtId="0" fontId="0" fillId="0" borderId="0" xfId="0" applyAlignment="1">
      <alignment horizontal="center" vertical="center"/>
    </xf>
    <xf numFmtId="0" fontId="12" fillId="3"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4"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0" xfId="0" applyFont="1" applyFill="1" applyAlignment="1">
      <alignment horizontal="center" vertical="center"/>
    </xf>
    <xf numFmtId="0" fontId="8" fillId="6" borderId="9"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0" fillId="0" borderId="0" xfId="0" applyNumberFormat="1"/>
  </cellXfs>
  <cellStyles count="1">
    <cellStyle name="Normal" xfId="0" builtinId="0"/>
  </cellStyles>
  <dxfs count="9">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0"/>
        <color auto="1"/>
        <name val="Arial"/>
        <scheme val="none"/>
      </font>
      <numFmt numFmtId="0" formatCode="General"/>
    </dxf>
    <dxf>
      <font>
        <sz val="20"/>
      </font>
    </dxf>
    <dxf>
      <font>
        <b/>
        <i val="0"/>
        <sz val="16"/>
        <name val="Calibri"/>
        <family val="2"/>
        <scheme val="minor"/>
      </font>
    </dxf>
    <dxf>
      <font>
        <b val="0"/>
        <i val="0"/>
        <sz val="16"/>
        <name val="Calibri"/>
        <family val="2"/>
        <scheme val="minor"/>
      </font>
    </dxf>
    <dxf>
      <font>
        <b val="0"/>
        <i val="0"/>
        <strike val="0"/>
        <sz val="20"/>
        <name val="Calibri"/>
        <family val="2"/>
        <scheme val="minor"/>
      </font>
    </dxf>
    <dxf>
      <font>
        <sz val="20"/>
      </font>
    </dxf>
  </dxfs>
  <tableStyles count="10" defaultTableStyle="TableStyleMedium9" defaultPivotStyle="PivotStyleLight16">
    <tableStyle name="Slicer Style 1" pivot="0" table="0" count="1" xr9:uid="{914B36DE-C035-43D6-ACE3-084E1C2EDC44}">
      <tableStyleElement type="wholeTable" dxfId="8"/>
    </tableStyle>
    <tableStyle name="Slicer Style 10" pivot="0" table="0" count="1" xr9:uid="{915C6086-11DD-49B3-A9E1-62BE694B5DC7}"/>
    <tableStyle name="Slicer Style 2" pivot="0" table="0" count="1" xr9:uid="{FC9DC93E-BA44-44C0-86A0-A846A044CE85}">
      <tableStyleElement type="wholeTable" dxfId="7"/>
    </tableStyle>
    <tableStyle name="Slicer Style 3" pivot="0" table="0" count="1" xr9:uid="{F78A2820-31AF-4BFB-9EB5-E59888A5FCC7}"/>
    <tableStyle name="Slicer Style 4" pivot="0" table="0" count="1" xr9:uid="{2A58A059-6321-4011-BDDB-B7387D73F3EE}">
      <tableStyleElement type="wholeTable" dxfId="6"/>
    </tableStyle>
    <tableStyle name="Slicer Style 5" pivot="0" table="0" count="1" xr9:uid="{1B9EF619-FCB6-4237-A87C-441368412846}"/>
    <tableStyle name="Slicer Style 6" pivot="0" table="0" count="1" xr9:uid="{E5D5AB5F-6598-4AA2-94B9-AB956DC6BE8E}">
      <tableStyleElement type="wholeTable" dxfId="5"/>
    </tableStyle>
    <tableStyle name="Slicer Style 7" pivot="0" table="0" count="1" xr9:uid="{83965706-7275-4974-994E-43E856862984}"/>
    <tableStyle name="Slicer Style 8" pivot="0" table="0" count="1" xr9:uid="{E876B501-F4D3-49D5-B5BE-BB48E0632B70}">
      <tableStyleElement type="headerRow" dxfId="4"/>
    </tableStyle>
    <tableStyle name="Slicer Style 9" pivot="0" table="0" count="0" xr9:uid="{C94A1FD3-156B-4033-AA7F-ED31EAC7AD14}"/>
  </tableStyles>
  <colors>
    <mruColors>
      <color rgb="FF845148"/>
      <color rgb="FFF9B47B"/>
    </mruColors>
  </colors>
  <extLst>
    <ext xmlns:x14="http://schemas.microsoft.com/office/spreadsheetml/2009/9/main" uri="{46F421CA-312F-682f-3DD2-61675219B42D}">
      <x14:dxfs count="4">
        <dxf>
          <font>
            <sz val="16"/>
          </font>
        </dxf>
        <dxf>
          <font>
            <sz val="16"/>
          </font>
        </dxf>
        <dxf>
          <font>
            <sz val="20"/>
          </font>
        </dxf>
        <dxf>
          <font>
            <sz val="22"/>
          </font>
        </dxf>
      </x14:dxfs>
    </ext>
    <ext xmlns:x14="http://schemas.microsoft.com/office/spreadsheetml/2009/9/main" uri="{EB79DEF2-80B8-43e5-95BD-54CBDDF9020C}">
      <x14:slicerStyles defaultSlicerStyle="Slicer Style 9">
        <x14:slicerStyle name="Slicer Style 1"/>
        <x14:slicerStyle name="Slicer Style 10">
          <x14:slicerStyleElements>
            <x14:slicerStyleElement type="hoveredSelectedItemWithData" dxfId="3"/>
          </x14:slicerStyleElements>
        </x14:slicerStyle>
        <x14:slicerStyle name="Slicer Style 2"/>
        <x14:slicerStyle name="Slicer Style 3">
          <x14:slicerStyleElements>
            <x14:slicerStyleElement type="selectedItemWithData" dxfId="2"/>
          </x14:slicerStyleElements>
        </x14:slicerStyle>
        <x14:slicerStyle name="Slicer Style 4"/>
        <x14:slicerStyle name="Slicer Style 5">
          <x14:slicerStyleElements>
            <x14:slicerStyleElement type="hoveredSelectedItemWithNoData" dxfId="1"/>
          </x14:slicerStyleElements>
        </x14:slicerStyle>
        <x14:slicerStyle name="Slicer Style 6"/>
        <x14:slicerStyle name="Slicer Style 7">
          <x14:slicerStyleElements>
            <x14:slicerStyleElement type="selectedItemWithNoData" dxfId="0"/>
          </x14:slicerStyleElements>
        </x14:slicerStyle>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[global_brew_sales_dataset_500.xlsx]calculation!PivotTable2</c:name>
    <c:fmtId val="0"/>
  </c:pivotSource>
  <c:chart>
    <c:title>
      <c:tx>
        <c:rich>
          <a:bodyPr rot="0" spcFirstLastPara="1" vertOverflow="ellipsis" vert="horz" wrap="square" anchor="ctr" anchorCtr="1"/>
          <a:lstStyle/>
          <a:p>
            <a:pPr>
              <a:defRPr lang="en-US" sz="18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r>
              <a:rPr lang="en-US" sz="18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rPr>
              <a:t>Monthly Net Sales</a:t>
            </a:r>
          </a:p>
        </c:rich>
      </c:tx>
      <c:layout>
        <c:manualLayout>
          <c:xMode val="edge"/>
          <c:yMode val="edge"/>
          <c:x val="0.31876377952755908"/>
          <c:y val="4.0645960921551476E-2"/>
        </c:manualLayout>
      </c:layout>
      <c:overlay val="0"/>
      <c:spPr>
        <a:noFill/>
        <a:ln>
          <a:noFill/>
        </a:ln>
        <a:effectLst/>
      </c:spPr>
      <c:txPr>
        <a:bodyPr rot="0" spcFirstLastPara="1" vertOverflow="ellipsis" vert="horz" wrap="square" anchor="ctr" anchorCtr="1"/>
        <a:lstStyle/>
        <a:p>
          <a:pPr>
            <a:defRPr lang="en-US" sz="18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endParaRPr lang="en-US"/>
        </a:p>
      </c:txPr>
    </c:title>
    <c:autoTitleDeleted val="0"/>
    <c:pivotFmts>
      <c:pivotFmt>
        <c:idx val="0"/>
        <c:spPr>
          <a:ln w="31750" cap="rnd">
            <a:solidFill>
              <a:schemeClr val="accent6">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calculation!$B$10</c:f>
              <c:strCache>
                <c:ptCount val="1"/>
                <c:pt idx="0">
                  <c:v>Total</c:v>
                </c:pt>
              </c:strCache>
            </c:strRef>
          </c:tx>
          <c:spPr>
            <a:ln w="31750" cap="rnd">
              <a:solidFill>
                <a:schemeClr val="accent6">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calculation!$A$11:$A$23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calculation!$B$11:$B$23</c:f>
              <c:numCache>
                <c:formatCode>\$#,##0.00</c:formatCode>
                <c:ptCount val="12"/>
                <c:pt idx="0">
                  <c:v>443.3</c:v>
                </c:pt>
                <c:pt idx="1">
                  <c:v>568.83000000000004</c:v>
                </c:pt>
                <c:pt idx="2">
                  <c:v>510.93999999999988</c:v>
                </c:pt>
                <c:pt idx="3">
                  <c:v>537.22</c:v>
                </c:pt>
                <c:pt idx="4">
                  <c:v>459.75999999999993</c:v>
                </c:pt>
                <c:pt idx="5">
                  <c:v>466.25000000000006</c:v>
                </c:pt>
                <c:pt idx="6">
                  <c:v>461.87000000000006</c:v>
                </c:pt>
                <c:pt idx="7">
                  <c:v>585.84</c:v>
                </c:pt>
                <c:pt idx="8">
                  <c:v>334.94</c:v>
                </c:pt>
                <c:pt idx="9">
                  <c:v>514.43999999999983</c:v>
                </c:pt>
                <c:pt idx="10">
                  <c:v>580.32000000000005</c:v>
                </c:pt>
                <c:pt idx="11">
                  <c:v>320.10000000000002</c:v>
                </c:pt>
              </c:numCache>
            </c:numRef>
          </c:val>
          <c:smooth val="0"/>
          <c:extLst>
            <c:ext xmlns:c16="http://schemas.microsoft.com/office/drawing/2014/chart" uri="{C3380CC4-5D6E-409C-BE32-E72D297353CC}">
              <c16:uniqueId val="{00000000-0F36-4B77-B399-9D6BA0A51F4A}"/>
            </c:ext>
          </c:extLst>
        </c:ser>
        <c:dLbls>
          <c:showLegendKey val="0"/>
          <c:showVal val="0"/>
          <c:showCatName val="0"/>
          <c:showSerName val="0"/>
          <c:showPercent val="0"/>
          <c:showBubbleSize val="0"/>
        </c:dLbls>
        <c:marker val="1"/>
        <c:smooth val="0"/>
        <c:axId val="857227535"/>
        <c:axId val="857221775"/>
      </c:lineChart>
      <c:catAx>
        <c:axId val="857227535"/>
        <c:scaling>
          <c:orientation val="minMax"/>
        </c:scaling>
        <c:delete val="1"/>
        <c:axPos val="b"/>
        <c:numFmt formatCode="General" sourceLinked="1"/>
        <c:majorTickMark val="out"/>
        <c:minorTickMark val="none"/>
        <c:tickLblPos val="nextTo"/>
        <c:crossAx val="857221775"/>
        <c:crosses val="autoZero"/>
        <c:auto val="1"/>
        <c:lblAlgn val="ctr"/>
        <c:lblOffset val="100"/>
        <c:noMultiLvlLbl val="0"/>
      </c:catAx>
      <c:valAx>
        <c:axId val="857221775"/>
        <c:scaling>
          <c:orientation val="minMax"/>
        </c:scaling>
        <c:delete val="1"/>
        <c:axPos val="l"/>
        <c:numFmt formatCode="\$#,##0.00" sourceLinked="1"/>
        <c:majorTickMark val="none"/>
        <c:minorTickMark val="none"/>
        <c:tickLblPos val="nextTo"/>
        <c:crossAx val="85722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9525" cap="flat" cmpd="sng" algn="ctr">
      <a:solidFill>
        <a:schemeClr val="tx2">
          <a:lumMod val="15000"/>
          <a:lumOff val="85000"/>
        </a:schemeClr>
      </a:solidFill>
      <a:round/>
    </a:ln>
    <a:effectLst>
      <a:outerShdw blurRad="266700" dist="38100" dir="3780000" sx="88000" sy="88000" algn="ctr" rotWithShape="0">
        <a:srgbClr val="000000">
          <a:alpha val="2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[global_brew_sales_dataset_500.xlsx]calculation!PivotTable7</c:name>
    <c:fmtId val="0"/>
  </c:pivotSource>
  <c:chart>
    <c:title>
      <c:tx>
        <c:rich>
          <a:bodyPr rot="0" spcFirstLastPara="1" vertOverflow="ellipsis" vert="horz" wrap="square" anchor="ctr" anchorCtr="1"/>
          <a:lstStyle/>
          <a:p>
            <a:pPr algn="ctr" rtl="0">
              <a:defRPr lang="en-US" sz="18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r>
              <a:rPr lang="en-US" sz="18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rPr>
              <a:t>Profit by Category</a:t>
            </a:r>
          </a:p>
        </c:rich>
      </c:tx>
      <c:layout>
        <c:manualLayout>
          <c:xMode val="edge"/>
          <c:yMode val="edge"/>
          <c:x val="0.31598600174978125"/>
          <c:y val="5.4534849810440364E-2"/>
        </c:manualLayout>
      </c:layout>
      <c:overlay val="0"/>
      <c:spPr>
        <a:noFill/>
        <a:ln>
          <a:noFill/>
        </a:ln>
        <a:effectLst/>
      </c:spPr>
      <c:txPr>
        <a:bodyPr rot="0" spcFirstLastPara="1" vertOverflow="ellipsis" vert="horz" wrap="square" anchor="ctr" anchorCtr="1"/>
        <a:lstStyle/>
        <a:p>
          <a:pPr algn="ctr" rtl="0">
            <a:defRPr lang="en-US" sz="18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calculation!$B$27</c:f>
              <c:strCache>
                <c:ptCount val="1"/>
                <c:pt idx="0">
                  <c:v>Total</c:v>
                </c:pt>
              </c:strCache>
            </c:strRef>
          </c:tx>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invertIfNegative val="0"/>
          <c:cat>
            <c:strRef>
              <c:f>calculation!$A$28:$A$33</c:f>
              <c:strCache>
                <c:ptCount val="5"/>
                <c:pt idx="0">
                  <c:v>Bakery</c:v>
                </c:pt>
                <c:pt idx="1">
                  <c:v>Cold Beverage</c:v>
                </c:pt>
                <c:pt idx="2">
                  <c:v>Food</c:v>
                </c:pt>
                <c:pt idx="3">
                  <c:v>Hot Beverage</c:v>
                </c:pt>
                <c:pt idx="4">
                  <c:v>Merchandise</c:v>
                </c:pt>
              </c:strCache>
            </c:strRef>
          </c:cat>
          <c:val>
            <c:numRef>
              <c:f>calculation!$B$28:$B$33</c:f>
              <c:numCache>
                <c:formatCode>\$#,##0.00</c:formatCode>
                <c:ptCount val="5"/>
                <c:pt idx="0">
                  <c:v>371.95000000000005</c:v>
                </c:pt>
                <c:pt idx="1">
                  <c:v>573.87999999999977</c:v>
                </c:pt>
                <c:pt idx="2">
                  <c:v>949.7900000000003</c:v>
                </c:pt>
                <c:pt idx="3">
                  <c:v>527.45000000000005</c:v>
                </c:pt>
                <c:pt idx="4">
                  <c:v>1217.3100000000002</c:v>
                </c:pt>
              </c:numCache>
            </c:numRef>
          </c:val>
          <c:extLst>
            <c:ext xmlns:c16="http://schemas.microsoft.com/office/drawing/2014/chart" uri="{C3380CC4-5D6E-409C-BE32-E72D297353CC}">
              <c16:uniqueId val="{00000006-A691-441E-B496-760484624183}"/>
            </c:ext>
          </c:extLst>
        </c:ser>
        <c:dLbls>
          <c:showLegendKey val="0"/>
          <c:showVal val="0"/>
          <c:showCatName val="0"/>
          <c:showSerName val="0"/>
          <c:showPercent val="0"/>
          <c:showBubbleSize val="0"/>
        </c:dLbls>
        <c:gapWidth val="150"/>
        <c:axId val="857227535"/>
        <c:axId val="857221775"/>
      </c:barChart>
      <c:catAx>
        <c:axId val="8572275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221775"/>
        <c:crosses val="autoZero"/>
        <c:auto val="1"/>
        <c:lblAlgn val="ctr"/>
        <c:lblOffset val="100"/>
        <c:noMultiLvlLbl val="0"/>
      </c:catAx>
      <c:valAx>
        <c:axId val="8572217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227535"/>
        <c:crosses val="autoZero"/>
        <c:crossBetween val="between"/>
      </c:valAx>
      <c:spPr>
        <a:noFill/>
        <a:ln>
          <a:noFill/>
        </a:ln>
        <a:effectLst/>
      </c:spPr>
    </c:plotArea>
    <c:plotVisOnly val="1"/>
    <c:dispBlanksAs val="gap"/>
    <c:showDLblsOverMax val="0"/>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9525" cap="flat" cmpd="sng" algn="ctr">
      <a:solidFill>
        <a:schemeClr val="tx2">
          <a:lumMod val="15000"/>
          <a:lumOff val="85000"/>
        </a:schemeClr>
      </a:solidFill>
      <a:round/>
    </a:ln>
    <a:effectLst>
      <a:outerShdw blurRad="266700" dist="38100" dir="3780000" sx="88000" sy="88000" algn="ctr" rotWithShape="0">
        <a:srgbClr val="000000">
          <a:alpha val="2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[global_brew_sales_dataset_500.xlsx]calculation!PivotTable8</c:name>
    <c:fmtId val="0"/>
  </c:pivotSource>
  <c:chart>
    <c:title>
      <c:tx>
        <c:rich>
          <a:bodyPr rot="0" spcFirstLastPara="1" vertOverflow="ellipsis" vert="horz" wrap="square" anchor="ctr" anchorCtr="1"/>
          <a:lstStyle/>
          <a:p>
            <a:pPr algn="ctr" rtl="0">
              <a:defRPr lang="en-US" sz="18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r>
              <a:rPr lang="en-US" sz="18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rPr>
              <a:t>Net Sales by Region</a:t>
            </a:r>
          </a:p>
        </c:rich>
      </c:tx>
      <c:layout>
        <c:manualLayout>
          <c:xMode val="edge"/>
          <c:yMode val="edge"/>
          <c:x val="0.32154155730533684"/>
          <c:y val="4.5275590551181105E-2"/>
        </c:manualLayout>
      </c:layout>
      <c:overlay val="0"/>
      <c:spPr>
        <a:noFill/>
        <a:ln>
          <a:noFill/>
        </a:ln>
        <a:effectLst/>
      </c:spPr>
      <c:txPr>
        <a:bodyPr rot="0" spcFirstLastPara="1" vertOverflow="ellipsis" vert="horz" wrap="square" anchor="ctr" anchorCtr="1"/>
        <a:lstStyle/>
        <a:p>
          <a:pPr algn="ctr" rtl="0">
            <a:defRPr lang="en-US" sz="18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9"/>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1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1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15"/>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17"/>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19"/>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pivotFmt>
    </c:pivotFmts>
    <c:plotArea>
      <c:layout/>
      <c:barChart>
        <c:barDir val="col"/>
        <c:grouping val="clustered"/>
        <c:varyColors val="0"/>
        <c:ser>
          <c:idx val="0"/>
          <c:order val="0"/>
          <c:tx>
            <c:strRef>
              <c:f>calculation!$B$44</c:f>
              <c:strCache>
                <c:ptCount val="1"/>
                <c:pt idx="0">
                  <c:v>Total</c:v>
                </c:pt>
              </c:strCache>
            </c:strRef>
          </c:tx>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invertIfNegative val="0"/>
          <c:dPt>
            <c:idx val="3"/>
            <c:invertIfNegative val="0"/>
            <c:bubble3D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EC44-4AE0-B455-FCC72DE742CB}"/>
              </c:ext>
            </c:extLst>
          </c:dPt>
          <c:cat>
            <c:strRef>
              <c:f>calculation!$A$45:$A$49</c:f>
              <c:strCache>
                <c:ptCount val="4"/>
                <c:pt idx="0">
                  <c:v>Asia Pacific</c:v>
                </c:pt>
                <c:pt idx="1">
                  <c:v>Europe</c:v>
                </c:pt>
                <c:pt idx="2">
                  <c:v>Middle East</c:v>
                </c:pt>
                <c:pt idx="3">
                  <c:v>North America</c:v>
                </c:pt>
              </c:strCache>
            </c:strRef>
          </c:cat>
          <c:val>
            <c:numRef>
              <c:f>calculation!$B$45:$B$49</c:f>
              <c:numCache>
                <c:formatCode>\$#,##0.00</c:formatCode>
                <c:ptCount val="4"/>
                <c:pt idx="0">
                  <c:v>1348.0399999999995</c:v>
                </c:pt>
                <c:pt idx="1">
                  <c:v>1884.110000000001</c:v>
                </c:pt>
                <c:pt idx="2">
                  <c:v>539.26999999999987</c:v>
                </c:pt>
                <c:pt idx="3">
                  <c:v>2012.3899999999992</c:v>
                </c:pt>
              </c:numCache>
            </c:numRef>
          </c:val>
          <c:extLst>
            <c:ext xmlns:c16="http://schemas.microsoft.com/office/drawing/2014/chart" uri="{C3380CC4-5D6E-409C-BE32-E72D297353CC}">
              <c16:uniqueId val="{00000008-EC44-4AE0-B455-FCC72DE742CB}"/>
            </c:ext>
          </c:extLst>
        </c:ser>
        <c:dLbls>
          <c:showLegendKey val="0"/>
          <c:showVal val="0"/>
          <c:showCatName val="0"/>
          <c:showSerName val="0"/>
          <c:showPercent val="0"/>
          <c:showBubbleSize val="0"/>
        </c:dLbls>
        <c:gapWidth val="150"/>
        <c:axId val="857227535"/>
        <c:axId val="857221775"/>
      </c:barChart>
      <c:catAx>
        <c:axId val="8572275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221775"/>
        <c:crosses val="autoZero"/>
        <c:auto val="1"/>
        <c:lblAlgn val="ctr"/>
        <c:lblOffset val="100"/>
        <c:noMultiLvlLbl val="0"/>
      </c:catAx>
      <c:valAx>
        <c:axId val="8572217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227535"/>
        <c:crosses val="autoZero"/>
        <c:crossBetween val="between"/>
      </c:valAx>
      <c:spPr>
        <a:noFill/>
        <a:ln>
          <a:noFill/>
        </a:ln>
        <a:effectLst/>
      </c:spPr>
    </c:plotArea>
    <c:plotVisOnly val="1"/>
    <c:dispBlanksAs val="gap"/>
    <c:showDLblsOverMax val="0"/>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9525" cap="flat" cmpd="sng" algn="ctr">
      <a:solidFill>
        <a:schemeClr val="tx2">
          <a:lumMod val="15000"/>
          <a:lumOff val="85000"/>
        </a:schemeClr>
      </a:solidFill>
      <a:round/>
    </a:ln>
    <a:effectLst>
      <a:outerShdw blurRad="266700" dist="38100" dir="3780000" sx="88000" sy="88000" algn="ctr" rotWithShape="0">
        <a:srgbClr val="000000">
          <a:alpha val="2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[global_brew_sales_dataset_500.xlsx]calculation!PivotTable9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effectLst>
                  <a:outerShdw blurRad="50800" dir="5520000" sx="152000" sy="152000" algn="ctr" rotWithShape="0">
                    <a:srgbClr val="000000">
                      <a:alpha val="4000"/>
                    </a:srgbClr>
                  </a:outerShdw>
                </a:effectLst>
                <a:latin typeface="+mn-lt"/>
                <a:ea typeface="+mn-ea"/>
                <a:cs typeface="+mn-cs"/>
              </a:defRPr>
            </a:pPr>
            <a:r>
              <a:rPr lang="en-US"/>
              <a:t>Sales</a:t>
            </a:r>
            <a:r>
              <a:rPr lang="en-US" baseline="0"/>
              <a:t> by Payment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effectLst>
                <a:outerShdw blurRad="50800" dir="5520000" sx="152000" sy="152000" algn="ctr" rotWithShape="0">
                  <a:srgbClr val="000000">
                    <a:alpha val="4000"/>
                  </a:srgbClr>
                </a:outerShdw>
              </a:effectLst>
              <a:latin typeface="+mn-lt"/>
              <a:ea typeface="+mn-ea"/>
              <a:cs typeface="+mn-cs"/>
            </a:defRPr>
          </a:pPr>
          <a:endParaRPr lang="en-US"/>
        </a:p>
      </c:txPr>
    </c:title>
    <c:autoTitleDeleted val="0"/>
    <c:pivotFmts>
      <c:pivotFmt>
        <c:idx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r="5520000" sx="152000" sy="152000" algn="ctr" rotWithShape="0">
                      <a:srgbClr val="000000">
                        <a:alpha val="4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3"/>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4"/>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537445319335083"/>
          <c:y val="0.20772929425488482"/>
          <c:w val="0.41147353455818025"/>
          <c:h val="0.68578922426363376"/>
        </c:manualLayout>
      </c:layout>
      <c:doughnutChart>
        <c:varyColors val="1"/>
        <c:ser>
          <c:idx val="0"/>
          <c:order val="0"/>
          <c:tx>
            <c:strRef>
              <c:f>calculation!$B$61</c:f>
              <c:strCache>
                <c:ptCount val="1"/>
                <c:pt idx="0">
                  <c:v>Total</c:v>
                </c:pt>
              </c:strCache>
            </c:strRef>
          </c:tx>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c:spPr>
          <c:dPt>
            <c:idx val="0"/>
            <c:bubble3D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D5D3-4F3D-AFF8-8FCA683EC883}"/>
              </c:ext>
            </c:extLst>
          </c:dPt>
          <c:dPt>
            <c:idx val="1"/>
            <c:bubble3D val="0"/>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5D3-4F3D-AFF8-8FCA683EC883}"/>
              </c:ext>
            </c:extLst>
          </c:dPt>
          <c:dPt>
            <c:idx val="2"/>
            <c:bubble3D val="0"/>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5D3-4F3D-AFF8-8FCA683EC883}"/>
              </c:ext>
            </c:extLst>
          </c:dPt>
          <c:dPt>
            <c:idx val="3"/>
            <c:bubble3D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D5D3-4F3D-AFF8-8FCA683EC88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r="5520000" sx="152000" sy="152000" algn="ctr" rotWithShape="0">
                        <a:srgbClr val="000000">
                          <a:alpha val="4000"/>
                        </a:srgb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calculation!$A$62:$A$66</c:f>
              <c:strCache>
                <c:ptCount val="4"/>
                <c:pt idx="0">
                  <c:v>Cash</c:v>
                </c:pt>
                <c:pt idx="1">
                  <c:v>Credit Card</c:v>
                </c:pt>
                <c:pt idx="2">
                  <c:v>Debit Card</c:v>
                </c:pt>
                <c:pt idx="3">
                  <c:v>Mobile Wallet</c:v>
                </c:pt>
              </c:strCache>
            </c:strRef>
          </c:cat>
          <c:val>
            <c:numRef>
              <c:f>calculation!$B$62:$B$66</c:f>
              <c:numCache>
                <c:formatCode>\$#,##0.00</c:formatCode>
                <c:ptCount val="4"/>
                <c:pt idx="0">
                  <c:v>1073.3</c:v>
                </c:pt>
                <c:pt idx="1">
                  <c:v>2084.8300000000004</c:v>
                </c:pt>
                <c:pt idx="2">
                  <c:v>880.41999999999985</c:v>
                </c:pt>
                <c:pt idx="3">
                  <c:v>1745.2599999999998</c:v>
                </c:pt>
              </c:numCache>
            </c:numRef>
          </c:val>
          <c:extLst>
            <c:ext xmlns:c16="http://schemas.microsoft.com/office/drawing/2014/chart" uri="{C3380CC4-5D6E-409C-BE32-E72D297353CC}">
              <c16:uniqueId val="{00000000-D5D3-4F3D-AFF8-8FCA683EC88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1210586176727906"/>
          <c:y val="0.64230205599300083"/>
          <c:w val="0.18789413823272091"/>
          <c:h val="0.3125021872265967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effectLst>
                <a:outerShdw blurRad="50800" dir="5520000" sx="152000" sy="152000" algn="ctr" rotWithShape="0">
                  <a:srgbClr val="000000">
                    <a:alpha val="4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a:outerShdw blurRad="50800" dist="50800" dir="5400000" algn="ctr" rotWithShape="0">
        <a:schemeClr val="bg1"/>
      </a:outerShdw>
    </a:effectLst>
  </c:spPr>
  <c:txPr>
    <a:bodyPr/>
    <a:lstStyle/>
    <a:p>
      <a:pPr>
        <a:defRPr>
          <a:effectLst>
            <a:outerShdw blurRad="50800" dir="5520000" sx="152000" sy="152000" algn="ctr" rotWithShape="0">
              <a:srgbClr val="000000">
                <a:alpha val="4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[global_brew_sales_dataset_500.xlsx]calculation!PivotTable2</c:name>
    <c:fmtId val="19"/>
  </c:pivotSource>
  <c:chart>
    <c:title>
      <c:tx>
        <c:rich>
          <a:bodyPr rot="0" spcFirstLastPara="1" vertOverflow="ellipsis" vert="horz" wrap="square" anchor="ctr" anchorCtr="1"/>
          <a:lstStyle/>
          <a:p>
            <a:pPr>
              <a:defRPr lang="en-US" sz="24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r>
              <a:rPr lang="en-US" sz="24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rPr>
              <a:t>Monthly Net Sales</a:t>
            </a:r>
          </a:p>
        </c:rich>
      </c:tx>
      <c:layout>
        <c:manualLayout>
          <c:xMode val="edge"/>
          <c:yMode val="edge"/>
          <c:x val="0.35457569557424945"/>
          <c:y val="4.8145444925513092E-2"/>
        </c:manualLayout>
      </c:layout>
      <c:overlay val="0"/>
      <c:spPr>
        <a:noFill/>
        <a:ln>
          <a:noFill/>
        </a:ln>
        <a:effectLst/>
      </c:spPr>
      <c:txPr>
        <a:bodyPr rot="0" spcFirstLastPara="1" vertOverflow="ellipsis" vert="horz" wrap="square" anchor="ctr" anchorCtr="1"/>
        <a:lstStyle/>
        <a:p>
          <a:pPr>
            <a:defRPr lang="en-US" sz="24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accent6">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accent6">
                <a:lumMod val="60000"/>
                <a:lumOff val="400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FFF00"/>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5768996456357"/>
          <c:y val="0.19438637764755068"/>
          <c:w val="0.8883423100354364"/>
          <c:h val="0.68383485330555571"/>
        </c:manualLayout>
      </c:layout>
      <c:lineChart>
        <c:grouping val="standard"/>
        <c:varyColors val="0"/>
        <c:ser>
          <c:idx val="0"/>
          <c:order val="0"/>
          <c:tx>
            <c:strRef>
              <c:f>calculation!$B$10</c:f>
              <c:strCache>
                <c:ptCount val="1"/>
                <c:pt idx="0">
                  <c:v>Total</c:v>
                </c:pt>
              </c:strCache>
            </c:strRef>
          </c:tx>
          <c:spPr>
            <a:ln w="31750" cap="rnd">
              <a:solidFill>
                <a:srgbClr val="FFFF00"/>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calculation!$A$11:$A$23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calculation!$B$11:$B$23</c:f>
              <c:numCache>
                <c:formatCode>\$#,##0.00</c:formatCode>
                <c:ptCount val="12"/>
                <c:pt idx="0">
                  <c:v>443.3</c:v>
                </c:pt>
                <c:pt idx="1">
                  <c:v>568.83000000000004</c:v>
                </c:pt>
                <c:pt idx="2">
                  <c:v>510.93999999999988</c:v>
                </c:pt>
                <c:pt idx="3">
                  <c:v>537.22</c:v>
                </c:pt>
                <c:pt idx="4">
                  <c:v>459.75999999999993</c:v>
                </c:pt>
                <c:pt idx="5">
                  <c:v>466.25000000000006</c:v>
                </c:pt>
                <c:pt idx="6">
                  <c:v>461.87000000000006</c:v>
                </c:pt>
                <c:pt idx="7">
                  <c:v>585.84</c:v>
                </c:pt>
                <c:pt idx="8">
                  <c:v>334.94</c:v>
                </c:pt>
                <c:pt idx="9">
                  <c:v>514.43999999999983</c:v>
                </c:pt>
                <c:pt idx="10">
                  <c:v>580.32000000000005</c:v>
                </c:pt>
                <c:pt idx="11">
                  <c:v>320.10000000000002</c:v>
                </c:pt>
              </c:numCache>
            </c:numRef>
          </c:val>
          <c:smooth val="0"/>
          <c:extLst>
            <c:ext xmlns:c16="http://schemas.microsoft.com/office/drawing/2014/chart" uri="{C3380CC4-5D6E-409C-BE32-E72D297353CC}">
              <c16:uniqueId val="{00000000-4499-4EF7-92B6-C0B4465B4F05}"/>
            </c:ext>
          </c:extLst>
        </c:ser>
        <c:dLbls>
          <c:showLegendKey val="0"/>
          <c:showVal val="0"/>
          <c:showCatName val="0"/>
          <c:showSerName val="0"/>
          <c:showPercent val="0"/>
          <c:showBubbleSize val="0"/>
        </c:dLbls>
        <c:marker val="1"/>
        <c:smooth val="0"/>
        <c:axId val="857227535"/>
        <c:axId val="857221775"/>
      </c:lineChart>
      <c:catAx>
        <c:axId val="857227535"/>
        <c:scaling>
          <c:orientation val="minMax"/>
        </c:scaling>
        <c:delete val="0"/>
        <c:axPos val="b"/>
        <c:numFmt formatCode="General" sourceLinked="1"/>
        <c:majorTickMark val="out"/>
        <c:minorTickMark val="none"/>
        <c:tickLblPos val="nextTo"/>
        <c:spPr>
          <a:noFill/>
          <a:ln w="28575" cap="flat" cmpd="sng" algn="ctr">
            <a:solidFill>
              <a:schemeClr val="tx2">
                <a:lumMod val="15000"/>
                <a:lumOff val="85000"/>
              </a:schemeClr>
            </a:solidFill>
            <a:round/>
          </a:ln>
          <a:effectLst/>
        </c:spPr>
        <c:txPr>
          <a:bodyPr rot="0" spcFirstLastPara="1" vertOverflow="ellipsis" wrap="square" anchor="ctr" anchorCtr="1"/>
          <a:lstStyle/>
          <a:p>
            <a:pPr>
              <a:defRPr sz="1400" b="0" i="0" u="none" strike="noStrike" kern="1200" baseline="0">
                <a:solidFill>
                  <a:schemeClr val="tx2"/>
                </a:solidFill>
                <a:latin typeface="+mn-lt"/>
                <a:ea typeface="+mn-ea"/>
                <a:cs typeface="+mn-cs"/>
              </a:defRPr>
            </a:pPr>
            <a:endParaRPr lang="en-US"/>
          </a:p>
        </c:txPr>
        <c:crossAx val="857221775"/>
        <c:crosses val="autoZero"/>
        <c:auto val="1"/>
        <c:lblAlgn val="ctr"/>
        <c:lblOffset val="100"/>
        <c:noMultiLvlLbl val="0"/>
      </c:catAx>
      <c:valAx>
        <c:axId val="85722177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857227535"/>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9525" cap="flat" cmpd="sng" algn="ctr">
      <a:solidFill>
        <a:schemeClr val="tx2">
          <a:lumMod val="15000"/>
          <a:lumOff val="85000"/>
        </a:schemeClr>
      </a:solidFill>
      <a:round/>
    </a:ln>
    <a:effectLst>
      <a:outerShdw blurRad="266700" dist="38100" dir="3780000" sx="88000" sy="88000" algn="ctr" rotWithShape="0">
        <a:srgbClr val="000000">
          <a:alpha val="29000"/>
        </a:srgbClr>
      </a:outerShdw>
      <a:softEdge rad="0"/>
    </a:effectLst>
    <a:scene3d>
      <a:camera prst="orthographicFront"/>
      <a:lightRig rig="threePt" dir="t"/>
    </a:scene3d>
    <a:sp3d>
      <a:bevelT w="12700"/>
      <a:bevelB w="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[global_brew_sales_dataset_500.xlsx]calculation!PivotTable7</c:name>
    <c:fmtId val="8"/>
  </c:pivotSource>
  <c:chart>
    <c:title>
      <c:tx>
        <c:rich>
          <a:bodyPr rot="0" spcFirstLastPara="1" vertOverflow="ellipsis" vert="horz" wrap="square" anchor="ctr" anchorCtr="1"/>
          <a:lstStyle/>
          <a:p>
            <a:pPr algn="ctr" rtl="0">
              <a:defRPr lang="en-US" sz="24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r>
              <a:rPr lang="en-US" sz="24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rPr>
              <a:t>Profit by Category</a:t>
            </a:r>
          </a:p>
        </c:rich>
      </c:tx>
      <c:layout>
        <c:manualLayout>
          <c:xMode val="edge"/>
          <c:yMode val="edge"/>
          <c:x val="0.42025935670113884"/>
          <c:y val="3.9601550479659804E-2"/>
        </c:manualLayout>
      </c:layout>
      <c:overlay val="0"/>
      <c:spPr>
        <a:noFill/>
        <a:ln>
          <a:noFill/>
        </a:ln>
        <a:effectLst/>
      </c:spPr>
      <c:txPr>
        <a:bodyPr rot="0" spcFirstLastPara="1" vertOverflow="ellipsis" vert="horz" wrap="square" anchor="ctr" anchorCtr="1"/>
        <a:lstStyle/>
        <a:p>
          <a:pPr algn="ctr" rtl="0">
            <a:defRPr lang="en-US" sz="24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a:glow>
              <a:schemeClr val="accent1"/>
            </a:glow>
            <a:outerShdw blurRad="40000" dist="23000" dir="30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a:glow>
              <a:schemeClr val="accent1"/>
            </a:glow>
            <a:outerShdw blurRad="40000" dist="23000" dir="3000000" rotWithShape="0">
              <a:srgbClr val="000000">
                <a:alpha val="45000"/>
              </a:srgbClr>
            </a:outerShdw>
          </a:effectLst>
        </c:spPr>
      </c:pivotFmt>
    </c:pivotFmts>
    <c:plotArea>
      <c:layout/>
      <c:barChart>
        <c:barDir val="bar"/>
        <c:grouping val="clustered"/>
        <c:varyColors val="0"/>
        <c:ser>
          <c:idx val="0"/>
          <c:order val="0"/>
          <c:tx>
            <c:strRef>
              <c:f>calculation!$B$27</c:f>
              <c:strCache>
                <c:ptCount val="1"/>
                <c:pt idx="0">
                  <c:v>Total</c:v>
                </c:pt>
              </c:strCache>
            </c:strRef>
          </c:tx>
          <c:spPr>
            <a:solidFill>
              <a:srgbClr val="FFC000"/>
            </a:solidFill>
            <a:ln>
              <a:noFill/>
            </a:ln>
            <a:effectLst>
              <a:glow>
                <a:schemeClr val="accent1"/>
              </a:glow>
              <a:outerShdw blurRad="40000" dist="23000" dir="3000000" rotWithShape="0">
                <a:srgbClr val="000000">
                  <a:alpha val="4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calculation!$A$28:$A$33</c:f>
              <c:strCache>
                <c:ptCount val="5"/>
                <c:pt idx="0">
                  <c:v>Bakery</c:v>
                </c:pt>
                <c:pt idx="1">
                  <c:v>Cold Beverage</c:v>
                </c:pt>
                <c:pt idx="2">
                  <c:v>Food</c:v>
                </c:pt>
                <c:pt idx="3">
                  <c:v>Hot Beverage</c:v>
                </c:pt>
                <c:pt idx="4">
                  <c:v>Merchandise</c:v>
                </c:pt>
              </c:strCache>
            </c:strRef>
          </c:cat>
          <c:val>
            <c:numRef>
              <c:f>calculation!$B$28:$B$33</c:f>
              <c:numCache>
                <c:formatCode>\$#,##0.00</c:formatCode>
                <c:ptCount val="5"/>
                <c:pt idx="0">
                  <c:v>371.95000000000005</c:v>
                </c:pt>
                <c:pt idx="1">
                  <c:v>573.87999999999977</c:v>
                </c:pt>
                <c:pt idx="2">
                  <c:v>949.7900000000003</c:v>
                </c:pt>
                <c:pt idx="3">
                  <c:v>527.45000000000005</c:v>
                </c:pt>
                <c:pt idx="4">
                  <c:v>1217.3100000000002</c:v>
                </c:pt>
              </c:numCache>
            </c:numRef>
          </c:val>
          <c:extLst>
            <c:ext xmlns:c16="http://schemas.microsoft.com/office/drawing/2014/chart" uri="{C3380CC4-5D6E-409C-BE32-E72D297353CC}">
              <c16:uniqueId val="{00000000-41A6-4071-8E7C-B6683D104420}"/>
            </c:ext>
          </c:extLst>
        </c:ser>
        <c:dLbls>
          <c:dLblPos val="outEnd"/>
          <c:showLegendKey val="0"/>
          <c:showVal val="1"/>
          <c:showCatName val="0"/>
          <c:showSerName val="0"/>
          <c:showPercent val="0"/>
          <c:showBubbleSize val="0"/>
        </c:dLbls>
        <c:gapWidth val="150"/>
        <c:axId val="857227535"/>
        <c:axId val="857221775"/>
      </c:barChart>
      <c:catAx>
        <c:axId val="857227535"/>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857221775"/>
        <c:crosses val="autoZero"/>
        <c:auto val="1"/>
        <c:lblAlgn val="ctr"/>
        <c:lblOffset val="100"/>
        <c:noMultiLvlLbl val="0"/>
      </c:catAx>
      <c:valAx>
        <c:axId val="857221775"/>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857227535"/>
        <c:crosses val="autoZero"/>
        <c:crossBetween val="between"/>
      </c:valAx>
      <c:spPr>
        <a:noFill/>
        <a:ln>
          <a:noFill/>
        </a:ln>
        <a:effectLst/>
      </c:spPr>
    </c:plotArea>
    <c:plotVisOnly val="1"/>
    <c:dispBlanksAs val="gap"/>
    <c:showDLblsOverMax val="0"/>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9525" cap="flat" cmpd="sng" algn="ctr">
      <a:solidFill>
        <a:schemeClr val="tx2">
          <a:lumMod val="15000"/>
          <a:lumOff val="85000"/>
        </a:schemeClr>
      </a:solidFill>
      <a:round/>
    </a:ln>
    <a:effectLst>
      <a:outerShdw blurRad="266700" dist="38100" dir="3780000" sx="88000" sy="88000" algn="ctr" rotWithShape="0">
        <a:srgbClr val="000000">
          <a:alpha val="2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[global_brew_sales_dataset_500.xlsx]calculation!PivotTable8</c:name>
    <c:fmtId val="9"/>
  </c:pivotSource>
  <c:chart>
    <c:title>
      <c:tx>
        <c:rich>
          <a:bodyPr rot="0" spcFirstLastPara="1" vertOverflow="ellipsis" vert="horz" wrap="square" anchor="ctr" anchorCtr="1"/>
          <a:lstStyle/>
          <a:p>
            <a:pPr algn="ctr" rtl="0">
              <a:defRPr lang="en-US" sz="20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r>
              <a:rPr lang="en-US" sz="20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rPr>
              <a:t>Net Sales by Region</a:t>
            </a:r>
          </a:p>
        </c:rich>
      </c:tx>
      <c:layout>
        <c:manualLayout>
          <c:xMode val="edge"/>
          <c:yMode val="edge"/>
          <c:x val="0.37194138102487451"/>
          <c:y val="5.9835317882649758E-2"/>
        </c:manualLayout>
      </c:layout>
      <c:overlay val="0"/>
      <c:spPr>
        <a:noFill/>
        <a:ln>
          <a:noFill/>
        </a:ln>
        <a:effectLst/>
      </c:spPr>
      <c:txPr>
        <a:bodyPr rot="0" spcFirstLastPara="1" vertOverflow="ellipsis" vert="horz" wrap="square" anchor="ctr" anchorCtr="1"/>
        <a:lstStyle/>
        <a:p>
          <a:pPr algn="ctr" rtl="0">
            <a:defRPr lang="en-US" sz="2000" b="1" i="0" u="none" strike="noStrike" kern="1200" baseline="0">
              <a:solidFill>
                <a:sysClr val="windowText" lastClr="000000">
                  <a:lumMod val="75000"/>
                  <a:lumOff val="25000"/>
                </a:sysClr>
              </a:solidFill>
              <a:effectLst>
                <a:outerShdw blurRad="50800" dir="5520000" sx="152000" sy="152000" algn="ctr" rotWithShape="0">
                  <a:srgbClr val="000000">
                    <a:alpha val="4000"/>
                  </a:srgbClr>
                </a:outerShdw>
              </a:effectLst>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9"/>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1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1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15"/>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17"/>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0000" dist="23000" dir="5400000" rotWithShape="0">
              <a:srgbClr val="000000">
                <a:alpha val="35000"/>
              </a:srgbClr>
            </a:outerShdw>
          </a:effectLst>
        </c:spPr>
      </c:pivotFmt>
      <c:pivotFmt>
        <c:idx val="19"/>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pivotFmt>
      <c:pivotFmt>
        <c:idx val="21"/>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40000" dist="23000" dir="5400000" rotWithShape="0">
              <a:srgbClr val="000000">
                <a:alpha val="35000"/>
              </a:srgbClr>
            </a:outerShdw>
          </a:effectLst>
        </c:spPr>
      </c:pivotFmt>
      <c:pivotFmt>
        <c:idx val="23"/>
        <c:spPr>
          <a:solidFill>
            <a:srgbClr val="FFFF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FF00"/>
          </a:solidFill>
          <a:ln>
            <a:noFill/>
          </a:ln>
          <a:effectLst>
            <a:outerShdw blurRad="40000" dist="23000" dir="5400000" rotWithShape="0">
              <a:srgbClr val="000000">
                <a:alpha val="35000"/>
              </a:srgbClr>
            </a:outerShdw>
          </a:effectLst>
        </c:spPr>
      </c:pivotFmt>
    </c:pivotFmts>
    <c:plotArea>
      <c:layout/>
      <c:barChart>
        <c:barDir val="col"/>
        <c:grouping val="clustered"/>
        <c:varyColors val="0"/>
        <c:ser>
          <c:idx val="0"/>
          <c:order val="0"/>
          <c:tx>
            <c:strRef>
              <c:f>calculation!$B$44</c:f>
              <c:strCache>
                <c:ptCount val="1"/>
                <c:pt idx="0">
                  <c:v>Total</c:v>
                </c:pt>
              </c:strCache>
            </c:strRef>
          </c:tx>
          <c:spPr>
            <a:solidFill>
              <a:srgbClr val="FFFF00"/>
            </a:solidFill>
            <a:ln>
              <a:noFill/>
            </a:ln>
            <a:effectLst>
              <a:outerShdw blurRad="40000" dist="23000" dir="5400000" rotWithShape="0">
                <a:srgbClr val="000000">
                  <a:alpha val="35000"/>
                </a:srgbClr>
              </a:outerShdw>
            </a:effectLst>
          </c:spPr>
          <c:invertIfNegative val="0"/>
          <c:dPt>
            <c:idx val="3"/>
            <c:invertIfNegative val="0"/>
            <c:bubble3D val="0"/>
            <c:extLst>
              <c:ext xmlns:c16="http://schemas.microsoft.com/office/drawing/2014/chart" uri="{C3380CC4-5D6E-409C-BE32-E72D297353CC}">
                <c16:uniqueId val="{00000001-1B5A-4F79-9C6D-90A955453062}"/>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calculation!$A$45:$A$49</c:f>
              <c:strCache>
                <c:ptCount val="4"/>
                <c:pt idx="0">
                  <c:v>Asia Pacific</c:v>
                </c:pt>
                <c:pt idx="1">
                  <c:v>Europe</c:v>
                </c:pt>
                <c:pt idx="2">
                  <c:v>Middle East</c:v>
                </c:pt>
                <c:pt idx="3">
                  <c:v>North America</c:v>
                </c:pt>
              </c:strCache>
            </c:strRef>
          </c:cat>
          <c:val>
            <c:numRef>
              <c:f>calculation!$B$45:$B$49</c:f>
              <c:numCache>
                <c:formatCode>\$#,##0.00</c:formatCode>
                <c:ptCount val="4"/>
                <c:pt idx="0">
                  <c:v>1348.0399999999995</c:v>
                </c:pt>
                <c:pt idx="1">
                  <c:v>1884.110000000001</c:v>
                </c:pt>
                <c:pt idx="2">
                  <c:v>539.26999999999987</c:v>
                </c:pt>
                <c:pt idx="3">
                  <c:v>2012.3899999999992</c:v>
                </c:pt>
              </c:numCache>
            </c:numRef>
          </c:val>
          <c:extLst>
            <c:ext xmlns:c16="http://schemas.microsoft.com/office/drawing/2014/chart" uri="{C3380CC4-5D6E-409C-BE32-E72D297353CC}">
              <c16:uniqueId val="{00000002-1B5A-4F79-9C6D-90A955453062}"/>
            </c:ext>
          </c:extLst>
        </c:ser>
        <c:dLbls>
          <c:showLegendKey val="0"/>
          <c:showVal val="0"/>
          <c:showCatName val="0"/>
          <c:showSerName val="0"/>
          <c:showPercent val="0"/>
          <c:showBubbleSize val="0"/>
        </c:dLbls>
        <c:gapWidth val="150"/>
        <c:axId val="857227535"/>
        <c:axId val="857221775"/>
      </c:barChart>
      <c:catAx>
        <c:axId val="8572275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857221775"/>
        <c:crosses val="autoZero"/>
        <c:auto val="1"/>
        <c:lblAlgn val="ctr"/>
        <c:lblOffset val="100"/>
        <c:noMultiLvlLbl val="0"/>
      </c:catAx>
      <c:valAx>
        <c:axId val="85722177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857227535"/>
        <c:crosses val="autoZero"/>
        <c:crossBetween val="between"/>
      </c:valAx>
      <c:spPr>
        <a:noFill/>
        <a:ln>
          <a:noFill/>
        </a:ln>
        <a:effectLst/>
      </c:spPr>
    </c:plotArea>
    <c:plotVisOnly val="1"/>
    <c:dispBlanksAs val="gap"/>
    <c:showDLblsOverMax val="0"/>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ln w="9525" cap="flat" cmpd="sng" algn="ctr">
      <a:solidFill>
        <a:schemeClr val="tx2">
          <a:lumMod val="15000"/>
          <a:lumOff val="85000"/>
        </a:schemeClr>
      </a:solidFill>
      <a:round/>
    </a:ln>
    <a:effectLst>
      <a:outerShdw blurRad="266700" dist="38100" dir="3780000" sx="88000" sy="88000" algn="ctr" rotWithShape="0">
        <a:srgbClr val="000000">
          <a:alpha val="2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[global_brew_sales_dataset_500.xlsx]calculation!PivotTable9</c:name>
    <c:fmtId val="7"/>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effectLst>
                  <a:outerShdw blurRad="50800" dir="5520000" sx="152000" sy="152000" algn="ctr" rotWithShape="0">
                    <a:srgbClr val="000000">
                      <a:alpha val="4000"/>
                    </a:srgbClr>
                  </a:outerShdw>
                </a:effectLst>
                <a:latin typeface="+mn-lt"/>
                <a:ea typeface="+mn-ea"/>
                <a:cs typeface="+mn-cs"/>
              </a:defRPr>
            </a:pPr>
            <a:r>
              <a:rPr lang="en-US" sz="2400"/>
              <a:t>Sales</a:t>
            </a:r>
            <a:r>
              <a:rPr lang="en-US" sz="2400" baseline="0"/>
              <a:t> by Payment Mode</a:t>
            </a:r>
            <a:endParaRPr lang="en-US" sz="2400"/>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effectLst>
                <a:outerShdw blurRad="50800" dir="5520000" sx="152000" sy="152000" algn="ctr" rotWithShape="0">
                  <a:srgbClr val="000000">
                    <a:alpha val="4000"/>
                  </a:srgbClr>
                </a:outerShdw>
              </a:effectLst>
              <a:latin typeface="+mn-lt"/>
              <a:ea typeface="+mn-ea"/>
              <a:cs typeface="+mn-cs"/>
            </a:defRPr>
          </a:pPr>
          <a:endParaRPr lang="en-US"/>
        </a:p>
      </c:txPr>
    </c:title>
    <c:autoTitleDeleted val="0"/>
    <c:pivotFmts>
      <c:pivotFmt>
        <c:idx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marker>
          <c:symbol val="none"/>
        </c:marker>
        <c:dLbl>
          <c:idx val="0"/>
          <c:numFmt formatCode="General"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r="5520000" sx="152000" sy="152000" algn="ctr" rotWithShape="0">
                      <a:srgbClr val="000000">
                        <a:alpha val="4000"/>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3"/>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4"/>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5"/>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marker>
          <c:symbol val="none"/>
        </c:marker>
        <c:dLbl>
          <c:idx val="0"/>
          <c:numFmt formatCode="General"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r="5520000" sx="152000" sy="152000" algn="ctr" rotWithShape="0">
                      <a:srgbClr val="000000">
                        <a:alpha val="4000"/>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7"/>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8"/>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9"/>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10"/>
        <c:spPr>
          <a:solidFill>
            <a:schemeClr val="accent1"/>
          </a:solidFill>
          <a:ln>
            <a:solidFill>
              <a:srgbClr val="845148"/>
            </a:solidFill>
          </a:ln>
          <a:effectLst>
            <a:outerShdw blurRad="254000" sx="98000" sy="98000" algn="ctr" rotWithShape="0">
              <a:prstClr val="black">
                <a:alpha val="20000"/>
              </a:prstClr>
            </a:outerShdw>
            <a:softEdge rad="0"/>
          </a:effectLst>
        </c:spPr>
        <c:marker>
          <c:symbol val="none"/>
        </c:marker>
        <c:dLbl>
          <c:idx val="0"/>
          <c:numFmt formatCode="General"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effectLst>
                    <a:outerShdw blurRad="50800" dir="5520000" sx="152000" sy="152000" algn="ctr" rotWithShape="0">
                      <a:srgbClr val="000000">
                        <a:alpha val="4000"/>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solidFill>
              <a:srgbClr val="845148"/>
            </a:solidFill>
          </a:ln>
          <a:effectLst>
            <a:outerShdw blurRad="254000" sx="98000" sy="98000" algn="ctr" rotWithShape="0">
              <a:prstClr val="black">
                <a:alpha val="20000"/>
              </a:prstClr>
            </a:outerShdw>
            <a:softEdge rad="0"/>
          </a:effectLst>
        </c:spPr>
      </c:pivotFmt>
      <c:pivotFmt>
        <c:idx val="12"/>
        <c:spPr>
          <a:solidFill>
            <a:schemeClr val="accent1"/>
          </a:solidFill>
          <a:ln>
            <a:solidFill>
              <a:srgbClr val="845148"/>
            </a:solidFill>
          </a:ln>
          <a:effectLst>
            <a:outerShdw blurRad="254000" sx="98000" sy="98000" algn="ctr" rotWithShape="0">
              <a:prstClr val="black">
                <a:alpha val="20000"/>
              </a:prstClr>
            </a:outerShdw>
            <a:softEdge rad="0"/>
          </a:effectLst>
        </c:spPr>
      </c:pivotFmt>
      <c:pivotFmt>
        <c:idx val="13"/>
        <c:spPr>
          <a:solidFill>
            <a:schemeClr val="accent1"/>
          </a:solidFill>
          <a:ln>
            <a:solidFill>
              <a:srgbClr val="845148"/>
            </a:solidFill>
          </a:ln>
          <a:effectLst>
            <a:outerShdw blurRad="254000" sx="98000" sy="98000" algn="ctr" rotWithShape="0">
              <a:prstClr val="black">
                <a:alpha val="20000"/>
              </a:prstClr>
            </a:outerShdw>
            <a:softEdge rad="0"/>
          </a:effectLst>
        </c:spPr>
      </c:pivotFmt>
      <c:pivotFmt>
        <c:idx val="14"/>
        <c:spPr>
          <a:solidFill>
            <a:schemeClr val="accent1"/>
          </a:solidFill>
          <a:ln>
            <a:solidFill>
              <a:srgbClr val="845148"/>
            </a:solidFill>
          </a:ln>
          <a:effectLst>
            <a:outerShdw blurRad="254000" sx="98000" sy="98000" algn="ctr" rotWithShape="0">
              <a:prstClr val="black">
                <a:alpha val="20000"/>
              </a:prstClr>
            </a:outerShdw>
            <a:softEdge rad="0"/>
          </a:effectLst>
        </c:spPr>
      </c:pivotFmt>
    </c:pivotFmts>
    <c:plotArea>
      <c:layout>
        <c:manualLayout>
          <c:layoutTarget val="inner"/>
          <c:xMode val="edge"/>
          <c:yMode val="edge"/>
          <c:x val="0.20219981266090567"/>
          <c:y val="0.19512324039339848"/>
          <c:w val="0.50020366830419127"/>
          <c:h val="0.76394750418568436"/>
        </c:manualLayout>
      </c:layout>
      <c:doughnutChart>
        <c:varyColors val="1"/>
        <c:ser>
          <c:idx val="0"/>
          <c:order val="0"/>
          <c:tx>
            <c:strRef>
              <c:f>calculation!$B$61</c:f>
              <c:strCache>
                <c:ptCount val="1"/>
                <c:pt idx="0">
                  <c:v>Total</c:v>
                </c:pt>
              </c:strCache>
            </c:strRef>
          </c:tx>
          <c:spPr>
            <a:ln>
              <a:solidFill>
                <a:srgbClr val="845148"/>
              </a:solidFill>
            </a:ln>
            <a:effectLst>
              <a:outerShdw blurRad="254000" sx="98000" sy="98000" algn="ctr" rotWithShape="0">
                <a:prstClr val="black">
                  <a:alpha val="20000"/>
                </a:prstClr>
              </a:outerShdw>
              <a:softEdge rad="0"/>
            </a:effectLst>
          </c:spPr>
          <c:dPt>
            <c:idx val="0"/>
            <c:bubble3D val="0"/>
            <c:spPr>
              <a:solidFill>
                <a:schemeClr val="accent1"/>
              </a:solidFill>
              <a:ln>
                <a:solidFill>
                  <a:srgbClr val="845148"/>
                </a:solidFill>
              </a:ln>
              <a:effectLst>
                <a:outerShdw blurRad="254000" sx="98000" sy="98000" algn="ctr" rotWithShape="0">
                  <a:prstClr val="black">
                    <a:alpha val="20000"/>
                  </a:prstClr>
                </a:outerShdw>
                <a:softEdge rad="0"/>
              </a:effectLst>
            </c:spPr>
            <c:extLst>
              <c:ext xmlns:c16="http://schemas.microsoft.com/office/drawing/2014/chart" uri="{C3380CC4-5D6E-409C-BE32-E72D297353CC}">
                <c16:uniqueId val="{00000001-F36C-45CC-942E-7D6ED5D9F7A6}"/>
              </c:ext>
            </c:extLst>
          </c:dPt>
          <c:dPt>
            <c:idx val="1"/>
            <c:bubble3D val="0"/>
            <c:spPr>
              <a:solidFill>
                <a:schemeClr val="accent2"/>
              </a:solidFill>
              <a:ln>
                <a:solidFill>
                  <a:srgbClr val="845148"/>
                </a:solidFill>
              </a:ln>
              <a:effectLst>
                <a:outerShdw blurRad="254000" sx="98000" sy="98000" algn="ctr" rotWithShape="0">
                  <a:prstClr val="black">
                    <a:alpha val="20000"/>
                  </a:prstClr>
                </a:outerShdw>
                <a:softEdge rad="0"/>
              </a:effectLst>
            </c:spPr>
            <c:extLst>
              <c:ext xmlns:c16="http://schemas.microsoft.com/office/drawing/2014/chart" uri="{C3380CC4-5D6E-409C-BE32-E72D297353CC}">
                <c16:uniqueId val="{00000003-F36C-45CC-942E-7D6ED5D9F7A6}"/>
              </c:ext>
            </c:extLst>
          </c:dPt>
          <c:dPt>
            <c:idx val="2"/>
            <c:bubble3D val="0"/>
            <c:spPr>
              <a:solidFill>
                <a:schemeClr val="accent3"/>
              </a:solidFill>
              <a:ln>
                <a:solidFill>
                  <a:srgbClr val="845148"/>
                </a:solidFill>
              </a:ln>
              <a:effectLst>
                <a:outerShdw blurRad="254000" sx="98000" sy="98000" algn="ctr" rotWithShape="0">
                  <a:prstClr val="black">
                    <a:alpha val="20000"/>
                  </a:prstClr>
                </a:outerShdw>
                <a:softEdge rad="0"/>
              </a:effectLst>
            </c:spPr>
            <c:extLst>
              <c:ext xmlns:c16="http://schemas.microsoft.com/office/drawing/2014/chart" uri="{C3380CC4-5D6E-409C-BE32-E72D297353CC}">
                <c16:uniqueId val="{00000005-F36C-45CC-942E-7D6ED5D9F7A6}"/>
              </c:ext>
            </c:extLst>
          </c:dPt>
          <c:dPt>
            <c:idx val="3"/>
            <c:bubble3D val="0"/>
            <c:spPr>
              <a:solidFill>
                <a:schemeClr val="accent4"/>
              </a:solidFill>
              <a:ln>
                <a:solidFill>
                  <a:srgbClr val="845148"/>
                </a:solidFill>
              </a:ln>
              <a:effectLst>
                <a:outerShdw blurRad="254000" sx="98000" sy="98000" algn="ctr" rotWithShape="0">
                  <a:prstClr val="black">
                    <a:alpha val="20000"/>
                  </a:prstClr>
                </a:outerShdw>
                <a:softEdge rad="0"/>
              </a:effectLst>
            </c:spPr>
            <c:extLst>
              <c:ext xmlns:c16="http://schemas.microsoft.com/office/drawing/2014/chart" uri="{C3380CC4-5D6E-409C-BE32-E72D297353CC}">
                <c16:uniqueId val="{00000007-F36C-45CC-942E-7D6ED5D9F7A6}"/>
              </c:ext>
            </c:extLst>
          </c:dPt>
          <c:dLbls>
            <c:numFmt formatCode="General"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effectLst>
                      <a:outerShdw blurRad="50800" dir="5520000" sx="152000" sy="152000" algn="ctr" rotWithShape="0">
                        <a:srgbClr val="000000">
                          <a:alpha val="4000"/>
                        </a:srgbClr>
                      </a:outerShdw>
                    </a:effectLst>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calculation!$A$62:$A$66</c:f>
              <c:strCache>
                <c:ptCount val="4"/>
                <c:pt idx="0">
                  <c:v>Cash</c:v>
                </c:pt>
                <c:pt idx="1">
                  <c:v>Credit Card</c:v>
                </c:pt>
                <c:pt idx="2">
                  <c:v>Debit Card</c:v>
                </c:pt>
                <c:pt idx="3">
                  <c:v>Mobile Wallet</c:v>
                </c:pt>
              </c:strCache>
            </c:strRef>
          </c:cat>
          <c:val>
            <c:numRef>
              <c:f>calculation!$B$62:$B$66</c:f>
              <c:numCache>
                <c:formatCode>\$#,##0.00</c:formatCode>
                <c:ptCount val="4"/>
                <c:pt idx="0">
                  <c:v>1073.3</c:v>
                </c:pt>
                <c:pt idx="1">
                  <c:v>2084.8300000000004</c:v>
                </c:pt>
                <c:pt idx="2">
                  <c:v>880.41999999999985</c:v>
                </c:pt>
                <c:pt idx="3">
                  <c:v>1745.2599999999998</c:v>
                </c:pt>
              </c:numCache>
            </c:numRef>
          </c:val>
          <c:extLst>
            <c:ext xmlns:c16="http://schemas.microsoft.com/office/drawing/2014/chart" uri="{C3380CC4-5D6E-409C-BE32-E72D297353CC}">
              <c16:uniqueId val="{00000008-F36C-45CC-942E-7D6ED5D9F7A6}"/>
            </c:ext>
          </c:extLst>
        </c:ser>
        <c:dLbls>
          <c:showLegendKey val="0"/>
          <c:showVal val="1"/>
          <c:showCatName val="0"/>
          <c:showSerName val="0"/>
          <c:showPercent val="0"/>
          <c:showBubbleSize val="0"/>
          <c:showLeaderLines val="0"/>
        </c:dLbls>
        <c:firstSliceAng val="308"/>
        <c:holeSize val="44"/>
      </c:doughnutChart>
      <c:spPr>
        <a:noFill/>
        <a:ln>
          <a:noFill/>
        </a:ln>
        <a:effectLst/>
      </c:spPr>
    </c:plotArea>
    <c:legend>
      <c:legendPos val="r"/>
      <c:layout>
        <c:manualLayout>
          <c:xMode val="edge"/>
          <c:yMode val="edge"/>
          <c:x val="0.77561358753024012"/>
          <c:y val="0.56772581928193822"/>
          <c:w val="0.2243864124697599"/>
          <c:h val="0.4123871764838523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effectLst>
                <a:outerShdw blurRad="50800" dir="5520000" sx="152000" sy="152000" algn="ctr" rotWithShape="0">
                  <a:srgbClr val="000000">
                    <a:alpha val="4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a:outerShdw blurRad="50800" dist="50800" dir="5400000" algn="ctr" rotWithShape="0">
        <a:schemeClr val="bg1"/>
      </a:outerShdw>
    </a:effectLst>
  </c:spPr>
  <c:txPr>
    <a:bodyPr/>
    <a:lstStyle/>
    <a:p>
      <a:pPr>
        <a:defRPr>
          <a:effectLst>
            <a:outerShdw blurRad="50800" dir="5520000" sx="152000" sy="152000" algn="ctr" rotWithShape="0">
              <a:srgbClr val="000000">
                <a:alpha val="4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733425</xdr:colOff>
      <xdr:row>8</xdr:row>
      <xdr:rowOff>176212</xdr:rowOff>
    </xdr:from>
    <xdr:to>
      <xdr:col>10</xdr:col>
      <xdr:colOff>200025</xdr:colOff>
      <xdr:row>23</xdr:row>
      <xdr:rowOff>61912</xdr:rowOff>
    </xdr:to>
    <xdr:graphicFrame macro="">
      <xdr:nvGraphicFramePr>
        <xdr:cNvPr id="2" name="Chart 1">
          <a:extLst>
            <a:ext uri="{FF2B5EF4-FFF2-40B4-BE49-F238E27FC236}">
              <a16:creationId xmlns:a16="http://schemas.microsoft.com/office/drawing/2014/main" id="{4DEF32CC-9490-2845-4DD2-9B0755A1F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257175</xdr:colOff>
      <xdr:row>24</xdr:row>
      <xdr:rowOff>42862</xdr:rowOff>
    </xdr:from>
    <xdr:to>
      <xdr:col>10</xdr:col>
      <xdr:colOff>561975</xdr:colOff>
      <xdr:row>38</xdr:row>
      <xdr:rowOff>119062</xdr:rowOff>
    </xdr:to>
    <xdr:graphicFrame macro="">
      <xdr:nvGraphicFramePr>
        <xdr:cNvPr id="3" name="Chart 2">
          <a:extLst>
            <a:ext uri="{FF2B5EF4-FFF2-40B4-BE49-F238E27FC236}">
              <a16:creationId xmlns:a16="http://schemas.microsoft.com/office/drawing/2014/main" id="{394BC0F1-80B4-D700-F878-0AC487637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238125</xdr:colOff>
      <xdr:row>40</xdr:row>
      <xdr:rowOff>100012</xdr:rowOff>
    </xdr:from>
    <xdr:to>
      <xdr:col>10</xdr:col>
      <xdr:colOff>542925</xdr:colOff>
      <xdr:row>54</xdr:row>
      <xdr:rowOff>176212</xdr:rowOff>
    </xdr:to>
    <xdr:graphicFrame macro="">
      <xdr:nvGraphicFramePr>
        <xdr:cNvPr id="4" name="Chart 3">
          <a:extLst>
            <a:ext uri="{FF2B5EF4-FFF2-40B4-BE49-F238E27FC236}">
              <a16:creationId xmlns:a16="http://schemas.microsoft.com/office/drawing/2014/main" id="{D44EB3E2-486B-3935-C054-205B890C8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276225</xdr:colOff>
      <xdr:row>56</xdr:row>
      <xdr:rowOff>119062</xdr:rowOff>
    </xdr:from>
    <xdr:to>
      <xdr:col>10</xdr:col>
      <xdr:colOff>581025</xdr:colOff>
      <xdr:row>71</xdr:row>
      <xdr:rowOff>4762</xdr:rowOff>
    </xdr:to>
    <xdr:graphicFrame macro="">
      <xdr:nvGraphicFramePr>
        <xdr:cNvPr id="5" name="Chart 4">
          <a:extLst>
            <a:ext uri="{FF2B5EF4-FFF2-40B4-BE49-F238E27FC236}">
              <a16:creationId xmlns:a16="http://schemas.microsoft.com/office/drawing/2014/main" id="{B061EC05-89B8-4025-10D3-113835843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581025</xdr:colOff>
      <xdr:row>4</xdr:row>
      <xdr:rowOff>9525</xdr:rowOff>
    </xdr:from>
    <xdr:to>
      <xdr:col>15</xdr:col>
      <xdr:colOff>581025</xdr:colOff>
      <xdr:row>17</xdr:row>
      <xdr:rowOff>57150</xdr:rowOff>
    </xdr:to>
    <mc:AlternateContent xmlns:mc="http://schemas.openxmlformats.org/markup-compatibility/2006" xmlns:a14="http://schemas.microsoft.com/office/drawing/2010/main">
      <mc:Choice Requires="a14">
        <xdr:graphicFrame macro="">
          <xdr:nvGraphicFramePr>
            <xdr:cNvPr id="7" name="Category 2">
              <a:extLst>
                <a:ext uri="{FF2B5EF4-FFF2-40B4-BE49-F238E27FC236}">
                  <a16:creationId xmlns:a16="http://schemas.microsoft.com/office/drawing/2014/main" id="{A6413727-C650-ECCD-D54E-E9D0673AB53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140637" y="797801"/>
              <a:ext cx="1822888" cy="2609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1323975</xdr:colOff>
      <xdr:row>24</xdr:row>
      <xdr:rowOff>95251</xdr:rowOff>
    </xdr:from>
    <xdr:to>
      <xdr:col>5</xdr:col>
      <xdr:colOff>551793</xdr:colOff>
      <xdr:row>32</xdr:row>
      <xdr:rowOff>38101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FEC0B12-E3AF-61D9-65B7-974E53A366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89406" y="4824906"/>
              <a:ext cx="1822559" cy="1519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542925</xdr:colOff>
      <xdr:row>26</xdr:row>
      <xdr:rowOff>161925</xdr:rowOff>
    </xdr:from>
    <xdr:to>
      <xdr:col>11</xdr:col>
      <xdr:colOff>542925</xdr:colOff>
      <xdr:row>40</xdr:row>
      <xdr:rowOff>19050</xdr:rowOff>
    </xdr:to>
    <mc:AlternateContent xmlns:mc="http://schemas.openxmlformats.org/markup-compatibility/2006" xmlns:a14="http://schemas.microsoft.com/office/drawing/2010/main">
      <mc:Choice Requires="a14">
        <xdr:graphicFrame macro="">
          <xdr:nvGraphicFramePr>
            <xdr:cNvPr id="8" name="Customer Type">
              <a:extLst>
                <a:ext uri="{FF2B5EF4-FFF2-40B4-BE49-F238E27FC236}">
                  <a16:creationId xmlns:a16="http://schemas.microsoft.com/office/drawing/2014/main" id="{E8CD89EA-B211-FE74-E850-A7ACCA0A77EE}"/>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672020" y="5285718"/>
              <a:ext cx="1822888" cy="2616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440854</xdr:colOff>
      <xdr:row>8</xdr:row>
      <xdr:rowOff>105595</xdr:rowOff>
    </xdr:from>
    <xdr:to>
      <xdr:col>10</xdr:col>
      <xdr:colOff>166310</xdr:colOff>
      <xdr:row>22</xdr:row>
      <xdr:rowOff>-1</xdr:rowOff>
    </xdr:to>
    <xdr:graphicFrame macro="">
      <xdr:nvGraphicFramePr>
        <xdr:cNvPr id="2" name="Chart 1">
          <a:extLst>
            <a:ext uri="{FF2B5EF4-FFF2-40B4-BE49-F238E27FC236}">
              <a16:creationId xmlns:a16="http://schemas.microsoft.com/office/drawing/2014/main" id="{E328A010-0BE8-47BD-AEA7-6BB5D03BC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333995</xdr:colOff>
      <xdr:row>8</xdr:row>
      <xdr:rowOff>90714</xdr:rowOff>
    </xdr:from>
    <xdr:to>
      <xdr:col>17</xdr:col>
      <xdr:colOff>1076739</xdr:colOff>
      <xdr:row>22</xdr:row>
      <xdr:rowOff>0</xdr:rowOff>
    </xdr:to>
    <xdr:graphicFrame macro="">
      <xdr:nvGraphicFramePr>
        <xdr:cNvPr id="3" name="Chart 2">
          <a:extLst>
            <a:ext uri="{FF2B5EF4-FFF2-40B4-BE49-F238E27FC236}">
              <a16:creationId xmlns:a16="http://schemas.microsoft.com/office/drawing/2014/main" id="{8E0DFB53-4D5C-419B-9E26-CCDE6EB6F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431185</xdr:colOff>
      <xdr:row>22</xdr:row>
      <xdr:rowOff>150952</xdr:rowOff>
    </xdr:from>
    <xdr:to>
      <xdr:col>10</xdr:col>
      <xdr:colOff>166310</xdr:colOff>
      <xdr:row>36</xdr:row>
      <xdr:rowOff>186357</xdr:rowOff>
    </xdr:to>
    <xdr:graphicFrame macro="">
      <xdr:nvGraphicFramePr>
        <xdr:cNvPr id="4" name="Chart 3">
          <a:extLst>
            <a:ext uri="{FF2B5EF4-FFF2-40B4-BE49-F238E27FC236}">
              <a16:creationId xmlns:a16="http://schemas.microsoft.com/office/drawing/2014/main" id="{7D11D8F6-E11A-4937-9736-3C234FB91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370063</xdr:colOff>
      <xdr:row>23</xdr:row>
      <xdr:rowOff>97692</xdr:rowOff>
    </xdr:from>
    <xdr:to>
      <xdr:col>15</xdr:col>
      <xdr:colOff>541024</xdr:colOff>
      <xdr:row>45</xdr:row>
      <xdr:rowOff>165651</xdr:rowOff>
    </xdr:to>
    <xdr:graphicFrame macro="">
      <xdr:nvGraphicFramePr>
        <xdr:cNvPr id="5" name="Chart 4">
          <a:extLst>
            <a:ext uri="{FF2B5EF4-FFF2-40B4-BE49-F238E27FC236}">
              <a16:creationId xmlns:a16="http://schemas.microsoft.com/office/drawing/2014/main" id="{EB2AD511-87D2-4D93-A458-A81702170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108000</xdr:colOff>
      <xdr:row>9</xdr:row>
      <xdr:rowOff>47499</xdr:rowOff>
    </xdr:from>
    <xdr:to>
      <xdr:col>3</xdr:col>
      <xdr:colOff>242833</xdr:colOff>
      <xdr:row>22</xdr:row>
      <xdr:rowOff>65222</xdr:rowOff>
    </xdr:to>
    <mc:AlternateContent xmlns:mc="http://schemas.openxmlformats.org/markup-compatibility/2006" xmlns:a14="http://schemas.microsoft.com/office/drawing/2010/main">
      <mc:Choice Requires="a14">
        <xdr:graphicFrame macro="">
          <xdr:nvGraphicFramePr>
            <xdr:cNvPr id="18" name="Category 3">
              <a:extLst>
                <a:ext uri="{FF2B5EF4-FFF2-40B4-BE49-F238E27FC236}">
                  <a16:creationId xmlns:a16="http://schemas.microsoft.com/office/drawing/2014/main" id="{1D0544D1-FB4C-4893-8371-B8B58365B81A}"/>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08000" y="2035325"/>
              <a:ext cx="3240811" cy="3185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704020</xdr:colOff>
      <xdr:row>23</xdr:row>
      <xdr:rowOff>54202</xdr:rowOff>
    </xdr:from>
    <xdr:to>
      <xdr:col>17</xdr:col>
      <xdr:colOff>1116405</xdr:colOff>
      <xdr:row>46</xdr:row>
      <xdr:rowOff>0</xdr:rowOff>
    </xdr:to>
    <mc:AlternateContent xmlns:mc="http://schemas.openxmlformats.org/markup-compatibility/2006" xmlns:a14="http://schemas.microsoft.com/office/drawing/2010/main">
      <mc:Choice Requires="a14">
        <xdr:graphicFrame macro="">
          <xdr:nvGraphicFramePr>
            <xdr:cNvPr id="19" name="Country 2">
              <a:extLst>
                <a:ext uri="{FF2B5EF4-FFF2-40B4-BE49-F238E27FC236}">
                  <a16:creationId xmlns:a16="http://schemas.microsoft.com/office/drawing/2014/main" id="{AA2C0B13-78B7-4E0E-BEA0-78D1D437EB7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7973259" y="5396485"/>
              <a:ext cx="2772929" cy="4729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14882</xdr:colOff>
      <xdr:row>35</xdr:row>
      <xdr:rowOff>148827</xdr:rowOff>
    </xdr:from>
    <xdr:to>
      <xdr:col>3</xdr:col>
      <xdr:colOff>25904</xdr:colOff>
      <xdr:row>45</xdr:row>
      <xdr:rowOff>228063</xdr:rowOff>
    </xdr:to>
    <mc:AlternateContent xmlns:mc="http://schemas.openxmlformats.org/markup-compatibility/2006" xmlns:a14="http://schemas.microsoft.com/office/drawing/2010/main">
      <mc:Choice Requires="a14">
        <xdr:graphicFrame macro="">
          <xdr:nvGraphicFramePr>
            <xdr:cNvPr id="20" name="Payment Method 2">
              <a:extLst>
                <a:ext uri="{FF2B5EF4-FFF2-40B4-BE49-F238E27FC236}">
                  <a16:creationId xmlns:a16="http://schemas.microsoft.com/office/drawing/2014/main" id="{0F05582E-E8E6-4947-B9BB-40A9004C7358}"/>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4882" y="6902919"/>
              <a:ext cx="1848174" cy="1936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41414</xdr:colOff>
      <xdr:row>22</xdr:row>
      <xdr:rowOff>113886</xdr:rowOff>
    </xdr:from>
    <xdr:to>
      <xdr:col>3</xdr:col>
      <xdr:colOff>238125</xdr:colOff>
      <xdr:row>34</xdr:row>
      <xdr:rowOff>176005</xdr:rowOff>
    </xdr:to>
    <mc:AlternateContent xmlns:mc="http://schemas.openxmlformats.org/markup-compatibility/2006" xmlns:a14="http://schemas.microsoft.com/office/drawing/2010/main">
      <mc:Choice Requires="a14">
        <xdr:graphicFrame macro="">
          <xdr:nvGraphicFramePr>
            <xdr:cNvPr id="7" name="Customer Type 1">
              <a:extLst>
                <a:ext uri="{FF2B5EF4-FFF2-40B4-BE49-F238E27FC236}">
                  <a16:creationId xmlns:a16="http://schemas.microsoft.com/office/drawing/2014/main" id="{BA74EACF-D744-4F35-B46B-2AEFABD8BAB4}"/>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41414" y="4483291"/>
              <a:ext cx="1834993" cy="2420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104205</xdr:colOff>
      <xdr:row>38</xdr:row>
      <xdr:rowOff>-1</xdr:rowOff>
    </xdr:from>
    <xdr:to>
      <xdr:col>4</xdr:col>
      <xdr:colOff>1022513</xdr:colOff>
      <xdr:row>46</xdr:row>
      <xdr:rowOff>24422</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18E80F6B-55D4-488D-A30E-91AD5A7C19D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10183" y="8137662"/>
              <a:ext cx="1974341" cy="2012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696693634258" createdVersion="8" refreshedVersion="8" minRefreshableVersion="3" recordCount="500" xr:uid="{A33F1619-869D-4AE5-80C1-EF3BA57512F7}">
  <cacheSource type="worksheet">
    <worksheetSource name="TransactionsTable500"/>
  </cacheSource>
  <cacheFields count="21">
    <cacheField name="Order ID" numFmtId="0">
      <sharedItems/>
    </cacheField>
    <cacheField name="Order Date" numFmtId="0">
      <sharedItems/>
    </cacheField>
    <cacheField name="month_order" numFmtId="0">
      <sharedItems count="12">
        <s v="Jan"/>
        <s v="Feb"/>
        <s v="Mar"/>
        <s v="Apr"/>
        <s v="May"/>
        <s v="Jun"/>
        <s v="Jul"/>
        <s v="Aug"/>
        <s v="Sep"/>
        <s v="Oct"/>
        <s v="Nov"/>
        <s v="Dec"/>
      </sharedItems>
    </cacheField>
    <cacheField name="Store ID" numFmtId="0">
      <sharedItems/>
    </cacheField>
    <cacheField name="Country" numFmtId="0">
      <sharedItems count="7">
        <s v="India"/>
        <s v="UAE"/>
        <s v="Germany"/>
        <s v="USA"/>
        <s v="UK"/>
        <s v="Australia"/>
        <s v="Canada"/>
      </sharedItems>
    </cacheField>
    <cacheField name="Region" numFmtId="0">
      <sharedItems count="4">
        <s v="Asia Pacific"/>
        <s v="Middle East"/>
        <s v="Europe"/>
        <s v="North America"/>
      </sharedItems>
    </cacheField>
    <cacheField name="City" numFmtId="0">
      <sharedItems/>
    </cacheField>
    <cacheField name="Product" numFmtId="0">
      <sharedItems/>
    </cacheField>
    <cacheField name="Category" numFmtId="0">
      <sharedItems count="5">
        <s v="Cold Beverage"/>
        <s v="Food"/>
        <s v="Merchandise"/>
        <s v="Bakery"/>
        <s v="Hot Beverage"/>
      </sharedItems>
    </cacheField>
    <cacheField name="Units Sold" numFmtId="0">
      <sharedItems containsSemiMixedTypes="0" containsString="0" containsNumber="1" containsInteger="1" minValue="1" maxValue="5"/>
    </cacheField>
    <cacheField name="Unit Price" numFmtId="164">
      <sharedItems containsSemiMixedTypes="0" containsString="0" containsNumber="1" minValue="2.38" maxValue="15.58"/>
    </cacheField>
    <cacheField name="Gross Sales" numFmtId="164">
      <sharedItems containsSemiMixedTypes="0" containsString="0" containsNumber="1" minValue="2.4" maxValue="74.95"/>
    </cacheField>
    <cacheField name="Discount %" numFmtId="9">
      <sharedItems containsSemiMixedTypes="0" containsString="0" containsNumber="1" minValue="0" maxValue="0.15"/>
    </cacheField>
    <cacheField name="Discount Amount" numFmtId="164">
      <sharedItems containsSemiMixedTypes="0" containsString="0" containsNumber="1" minValue="0" maxValue="7.5"/>
    </cacheField>
    <cacheField name="Net Sales" numFmtId="164">
      <sharedItems containsSemiMixedTypes="0" containsString="0" containsNumber="1" minValue="2.09" maxValue="73.3"/>
    </cacheField>
    <cacheField name="COGS" numFmtId="164">
      <sharedItems containsSemiMixedTypes="0" containsString="0" containsNumber="1" minValue="0.79" maxValue="26.33"/>
    </cacheField>
    <cacheField name="Profit" numFmtId="164">
      <sharedItems containsSemiMixedTypes="0" containsString="0" containsNumber="1" minValue="1.3" maxValue="46.97"/>
    </cacheField>
    <cacheField name="Customer Type" numFmtId="0">
      <sharedItems count="3">
        <s v="Non-Member"/>
        <s v="Member"/>
        <s v="Corporate"/>
      </sharedItems>
    </cacheField>
    <cacheField name="Payment Method" numFmtId="0">
      <sharedItems count="4">
        <s v="Credit Card"/>
        <s v="Debit Card"/>
        <s v="Mobile Wallet"/>
        <s v="Cash"/>
      </sharedItems>
    </cacheField>
    <cacheField name="Order Channel" numFmtId="0">
      <sharedItems/>
    </cacheField>
    <cacheField name="Customer 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020896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500446"/>
    <s v="2024-01-02"/>
    <x v="0"/>
    <s v="ST023"/>
    <x v="0"/>
    <x v="0"/>
    <s v="Bengaluru"/>
    <s v="Frappe"/>
    <x v="0"/>
    <n v="3"/>
    <n v="4.97"/>
    <n v="14.91"/>
    <n v="0"/>
    <n v="0"/>
    <n v="14.91"/>
    <n v="6.21"/>
    <n v="8.6999999999999993"/>
    <x v="0"/>
    <x v="0"/>
    <s v="In-Store"/>
    <n v="3"/>
  </r>
  <r>
    <s v="ORD500267"/>
    <s v="2024-01-02"/>
    <x v="0"/>
    <s v="ST028"/>
    <x v="1"/>
    <x v="1"/>
    <s v="Dubai"/>
    <s v="Frappe"/>
    <x v="0"/>
    <n v="3"/>
    <n v="5.21"/>
    <n v="15.63"/>
    <n v="0"/>
    <n v="0"/>
    <n v="15.63"/>
    <n v="6.35"/>
    <n v="9.2799999999999994"/>
    <x v="0"/>
    <x v="1"/>
    <s v="Mobile App"/>
    <n v="4"/>
  </r>
  <r>
    <s v="ORD500430"/>
    <s v="2024-01-04"/>
    <x v="0"/>
    <s v="ST029"/>
    <x v="1"/>
    <x v="1"/>
    <s v="Dubai"/>
    <s v="Frappe"/>
    <x v="0"/>
    <n v="1"/>
    <n v="4.95"/>
    <n v="4.95"/>
    <n v="0"/>
    <n v="0"/>
    <n v="4.95"/>
    <n v="1.68"/>
    <n v="3.27"/>
    <x v="0"/>
    <x v="0"/>
    <s v="In-Store"/>
    <n v="1"/>
  </r>
  <r>
    <s v="ORD500172"/>
    <s v="2024-01-04"/>
    <x v="0"/>
    <s v="ST016"/>
    <x v="2"/>
    <x v="2"/>
    <s v="Munich"/>
    <s v="Caesar Salad"/>
    <x v="1"/>
    <n v="1"/>
    <n v="8.59"/>
    <n v="8.59"/>
    <n v="0.1"/>
    <n v="0.86"/>
    <n v="7.73"/>
    <n v="3.07"/>
    <n v="4.66"/>
    <x v="1"/>
    <x v="0"/>
    <s v="In-Store"/>
    <n v="4"/>
  </r>
  <r>
    <s v="ORD500266"/>
    <s v="2024-01-05"/>
    <x v="0"/>
    <s v="ST020"/>
    <x v="0"/>
    <x v="0"/>
    <s v="Mumbai"/>
    <s v="Iced Tea"/>
    <x v="0"/>
    <n v="2"/>
    <n v="3.73"/>
    <n v="7.46"/>
    <n v="0.05"/>
    <n v="0.37"/>
    <n v="7.09"/>
    <n v="2.46"/>
    <n v="4.63"/>
    <x v="1"/>
    <x v="0"/>
    <s v="Mobile App"/>
    <n v="5"/>
  </r>
  <r>
    <s v="ORD500397"/>
    <s v="2024-01-05"/>
    <x v="0"/>
    <s v="ST018"/>
    <x v="2"/>
    <x v="2"/>
    <s v="Hamburg"/>
    <s v="Ceramic Mug"/>
    <x v="2"/>
    <n v="3"/>
    <n v="9.39"/>
    <n v="28.17"/>
    <n v="0"/>
    <n v="0"/>
    <n v="28.17"/>
    <n v="10.47"/>
    <n v="17.7"/>
    <x v="0"/>
    <x v="1"/>
    <s v="Mobile App"/>
    <n v="4"/>
  </r>
  <r>
    <s v="ORD500199"/>
    <s v="2024-01-05"/>
    <x v="0"/>
    <s v="ST002"/>
    <x v="3"/>
    <x v="3"/>
    <s v="New York"/>
    <s v="Chocolate Chip Cookie"/>
    <x v="3"/>
    <n v="1"/>
    <n v="2.58"/>
    <n v="2.58"/>
    <n v="0.05"/>
    <n v="0.13"/>
    <n v="2.4500000000000002"/>
    <n v="0.88"/>
    <n v="1.57"/>
    <x v="0"/>
    <x v="2"/>
    <s v="In-Store"/>
    <n v="4"/>
  </r>
  <r>
    <s v="ORD500158"/>
    <s v="2024-01-06"/>
    <x v="0"/>
    <s v="ST012"/>
    <x v="4"/>
    <x v="2"/>
    <s v="Manchester"/>
    <s v="Tumbler"/>
    <x v="2"/>
    <n v="1"/>
    <n v="14.53"/>
    <n v="14.53"/>
    <n v="0"/>
    <n v="0"/>
    <n v="14.53"/>
    <n v="5.74"/>
    <n v="8.7899999999999991"/>
    <x v="1"/>
    <x v="0"/>
    <s v="Mobile App"/>
    <n v="4"/>
  </r>
  <r>
    <s v="ORD500459"/>
    <s v="2024-01-10"/>
    <x v="0"/>
    <s v="ST013"/>
    <x v="4"/>
    <x v="2"/>
    <s v="Birmingham"/>
    <s v="Avocado Toast"/>
    <x v="1"/>
    <n v="1"/>
    <n v="6.67"/>
    <n v="6.67"/>
    <n v="0"/>
    <n v="0"/>
    <n v="6.67"/>
    <n v="2.17"/>
    <n v="4.5"/>
    <x v="1"/>
    <x v="1"/>
    <s v="Mobile App"/>
    <n v="4"/>
  </r>
  <r>
    <s v="ORD500108"/>
    <s v="2024-01-13"/>
    <x v="0"/>
    <s v="ST021"/>
    <x v="0"/>
    <x v="0"/>
    <s v="Delhi"/>
    <s v="Iced Tea"/>
    <x v="0"/>
    <n v="1"/>
    <n v="3.88"/>
    <n v="3.88"/>
    <n v="0"/>
    <n v="0"/>
    <n v="3.88"/>
    <n v="1.59"/>
    <n v="2.29"/>
    <x v="0"/>
    <x v="1"/>
    <s v="Mobile App"/>
    <n v="4"/>
  </r>
  <r>
    <s v="ORD500129"/>
    <s v="2024-01-14"/>
    <x v="0"/>
    <s v="ST007"/>
    <x v="3"/>
    <x v="3"/>
    <s v="Seattle"/>
    <s v="Cold Brew"/>
    <x v="0"/>
    <n v="1"/>
    <n v="4.7"/>
    <n v="4.7"/>
    <n v="0"/>
    <n v="0"/>
    <n v="4.7"/>
    <n v="1.63"/>
    <n v="3.07"/>
    <x v="1"/>
    <x v="3"/>
    <s v="In-Store"/>
    <n v="2"/>
  </r>
  <r>
    <s v="ORD500120"/>
    <s v="2024-01-15"/>
    <x v="0"/>
    <s v="ST021"/>
    <x v="0"/>
    <x v="0"/>
    <s v="Delhi"/>
    <s v="Ceramic Mug"/>
    <x v="2"/>
    <n v="4"/>
    <n v="8.8699999999999992"/>
    <n v="35.479999999999997"/>
    <n v="0"/>
    <n v="0"/>
    <n v="35.479999999999997"/>
    <n v="12.17"/>
    <n v="23.31"/>
    <x v="0"/>
    <x v="2"/>
    <s v="Drive-Thru"/>
    <n v="3"/>
  </r>
  <r>
    <s v="ORD500148"/>
    <s v="2024-01-16"/>
    <x v="0"/>
    <s v="ST029"/>
    <x v="1"/>
    <x v="1"/>
    <s v="Dubai"/>
    <s v="Bagel with Cream Cheese"/>
    <x v="3"/>
    <n v="2"/>
    <n v="3.52"/>
    <n v="7.04"/>
    <n v="0.05"/>
    <n v="0.35"/>
    <n v="6.69"/>
    <n v="2.79"/>
    <n v="3.9"/>
    <x v="1"/>
    <x v="0"/>
    <s v="Drive-Thru"/>
    <n v="4"/>
  </r>
  <r>
    <s v="ORD500232"/>
    <s v="2024-01-16"/>
    <x v="0"/>
    <s v="ST019"/>
    <x v="0"/>
    <x v="0"/>
    <s v="Mumbai"/>
    <s v="Chocolate Chip Cookie"/>
    <x v="3"/>
    <n v="1"/>
    <n v="2.57"/>
    <n v="2.57"/>
    <n v="0"/>
    <n v="0"/>
    <n v="2.57"/>
    <n v="0.97"/>
    <n v="1.6"/>
    <x v="2"/>
    <x v="2"/>
    <s v="Mobile App"/>
    <n v="4"/>
  </r>
  <r>
    <s v="ORD500363"/>
    <s v="2024-01-17"/>
    <x v="0"/>
    <s v="ST012"/>
    <x v="4"/>
    <x v="2"/>
    <s v="Manchester"/>
    <s v="Latte"/>
    <x v="4"/>
    <n v="1"/>
    <n v="4.5599999999999996"/>
    <n v="4.5599999999999996"/>
    <n v="0"/>
    <n v="0"/>
    <n v="4.5599999999999996"/>
    <n v="1.54"/>
    <n v="3.02"/>
    <x v="0"/>
    <x v="0"/>
    <s v="Mobile App"/>
    <n v="4"/>
  </r>
  <r>
    <s v="ORD500453"/>
    <s v="2024-01-18"/>
    <x v="0"/>
    <s v="ST018"/>
    <x v="2"/>
    <x v="2"/>
    <s v="Hamburg"/>
    <s v="Iced Latte"/>
    <x v="0"/>
    <n v="1"/>
    <n v="5.12"/>
    <n v="5.12"/>
    <n v="0"/>
    <n v="0"/>
    <n v="5.12"/>
    <n v="1.88"/>
    <n v="3.24"/>
    <x v="2"/>
    <x v="2"/>
    <s v="Mobile App"/>
    <n v="4"/>
  </r>
  <r>
    <s v="ORD500376"/>
    <s v="2024-01-18"/>
    <x v="0"/>
    <s v="ST008"/>
    <x v="3"/>
    <x v="3"/>
    <s v="Seattle"/>
    <s v="Espresso"/>
    <x v="4"/>
    <n v="2"/>
    <n v="3.6"/>
    <n v="7.2"/>
    <n v="0"/>
    <n v="0"/>
    <n v="7.2"/>
    <n v="2.95"/>
    <n v="4.25"/>
    <x v="0"/>
    <x v="0"/>
    <s v="In-Store"/>
    <n v="3"/>
  </r>
  <r>
    <s v="ORD500192"/>
    <s v="2024-01-20"/>
    <x v="0"/>
    <s v="ST030"/>
    <x v="1"/>
    <x v="1"/>
    <s v="Abu Dhabi"/>
    <s v="Frappe"/>
    <x v="0"/>
    <n v="1"/>
    <n v="5.41"/>
    <n v="5.41"/>
    <n v="0"/>
    <n v="0"/>
    <n v="5.41"/>
    <n v="2.08"/>
    <n v="3.33"/>
    <x v="1"/>
    <x v="1"/>
    <s v="In-Store"/>
    <n v="5"/>
  </r>
  <r>
    <s v="ORD500270"/>
    <s v="2024-01-20"/>
    <x v="0"/>
    <s v="ST002"/>
    <x v="3"/>
    <x v="3"/>
    <s v="New York"/>
    <s v="Americano"/>
    <x v="4"/>
    <n v="2"/>
    <n v="3.81"/>
    <n v="7.62"/>
    <n v="0.05"/>
    <n v="0.38"/>
    <n v="7.24"/>
    <n v="2.52"/>
    <n v="4.72"/>
    <x v="0"/>
    <x v="2"/>
    <s v="Drive-Thru"/>
    <n v="5"/>
  </r>
  <r>
    <s v="ORD500177"/>
    <s v="2024-01-21"/>
    <x v="0"/>
    <s v="ST014"/>
    <x v="4"/>
    <x v="2"/>
    <s v="Birmingham"/>
    <s v="Espresso"/>
    <x v="4"/>
    <n v="2"/>
    <n v="3.38"/>
    <n v="6.76"/>
    <n v="0.1"/>
    <n v="0.68"/>
    <n v="6.08"/>
    <n v="2.2000000000000002"/>
    <n v="3.88"/>
    <x v="0"/>
    <x v="0"/>
    <s v="Mobile App"/>
    <n v="5"/>
  </r>
  <r>
    <s v="ORD500285"/>
    <s v="2024-01-23"/>
    <x v="0"/>
    <s v="ST024"/>
    <x v="5"/>
    <x v="0"/>
    <s v="Sydney"/>
    <s v="Iced Tea"/>
    <x v="0"/>
    <n v="2"/>
    <n v="4.07"/>
    <n v="8.14"/>
    <n v="0"/>
    <n v="0"/>
    <n v="8.14"/>
    <n v="2.75"/>
    <n v="5.39"/>
    <x v="0"/>
    <x v="2"/>
    <s v="In-Store"/>
    <n v="5"/>
  </r>
  <r>
    <s v="ORD500279"/>
    <s v="2024-01-23"/>
    <x v="0"/>
    <s v="ST013"/>
    <x v="4"/>
    <x v="2"/>
    <s v="Birmingham"/>
    <s v="Granola Bowl"/>
    <x v="1"/>
    <n v="2"/>
    <n v="6.58"/>
    <n v="13.16"/>
    <n v="0.1"/>
    <n v="1.32"/>
    <n v="11.84"/>
    <n v="4.87"/>
    <n v="6.97"/>
    <x v="0"/>
    <x v="0"/>
    <s v="Drive-Thru"/>
    <n v="5"/>
  </r>
  <r>
    <s v="ORD500398"/>
    <s v="2024-01-24"/>
    <x v="0"/>
    <s v="ST029"/>
    <x v="1"/>
    <x v="1"/>
    <s v="Dubai"/>
    <s v="Cold Brew"/>
    <x v="0"/>
    <n v="3"/>
    <n v="4.49"/>
    <n v="13.47"/>
    <n v="0"/>
    <n v="0"/>
    <n v="13.47"/>
    <n v="4.9000000000000004"/>
    <n v="8.57"/>
    <x v="0"/>
    <x v="3"/>
    <s v="Drive-Thru"/>
    <n v="4"/>
  </r>
  <r>
    <s v="ORD500181"/>
    <s v="2024-01-25"/>
    <x v="0"/>
    <s v="ST022"/>
    <x v="0"/>
    <x v="0"/>
    <s v="Bengaluru"/>
    <s v="Avocado Toast"/>
    <x v="1"/>
    <n v="2"/>
    <n v="6.72"/>
    <n v="13.44"/>
    <n v="0"/>
    <n v="0"/>
    <n v="13.44"/>
    <n v="4.8600000000000003"/>
    <n v="8.58"/>
    <x v="0"/>
    <x v="2"/>
    <s v="Mobile App"/>
    <n v="4"/>
  </r>
  <r>
    <s v="ORD500342"/>
    <s v="2024-01-25"/>
    <x v="0"/>
    <s v="ST004"/>
    <x v="3"/>
    <x v="3"/>
    <s v="Chicago"/>
    <s v="Tumbler"/>
    <x v="2"/>
    <n v="1"/>
    <n v="14.26"/>
    <n v="14.26"/>
    <n v="0.05"/>
    <n v="0.71"/>
    <n v="13.55"/>
    <n v="5.68"/>
    <n v="7.87"/>
    <x v="0"/>
    <x v="0"/>
    <s v="Drive-Thru"/>
    <n v="5"/>
  </r>
  <r>
    <s v="ORD500125"/>
    <s v="2024-01-27"/>
    <x v="0"/>
    <s v="ST025"/>
    <x v="5"/>
    <x v="0"/>
    <s v="Melbourne"/>
    <s v="Cold Brew"/>
    <x v="0"/>
    <n v="4"/>
    <n v="4.4400000000000004"/>
    <n v="17.760000000000002"/>
    <n v="0"/>
    <n v="0"/>
    <n v="17.760000000000002"/>
    <n v="6.1"/>
    <n v="11.66"/>
    <x v="0"/>
    <x v="2"/>
    <s v="Mobile App"/>
    <n v="4"/>
  </r>
  <r>
    <s v="ORD500072"/>
    <s v="2024-01-30"/>
    <x v="0"/>
    <s v="ST018"/>
    <x v="2"/>
    <x v="2"/>
    <s v="Hamburg"/>
    <s v="Caesar Salad"/>
    <x v="1"/>
    <n v="1"/>
    <n v="7.85"/>
    <n v="7.85"/>
    <n v="0"/>
    <n v="0"/>
    <n v="7.85"/>
    <n v="2.6"/>
    <n v="5.25"/>
    <x v="2"/>
    <x v="2"/>
    <s v="In-Store"/>
    <n v="5"/>
  </r>
  <r>
    <s v="ORD500443"/>
    <s v="2024-01-31"/>
    <x v="0"/>
    <s v="ST011"/>
    <x v="4"/>
    <x v="2"/>
    <s v="Manchester"/>
    <s v="Whole Bean Coffee 250g"/>
    <x v="2"/>
    <n v="5"/>
    <n v="11.93"/>
    <n v="59.65"/>
    <n v="0"/>
    <n v="0"/>
    <n v="59.65"/>
    <n v="22.82"/>
    <n v="36.83"/>
    <x v="1"/>
    <x v="3"/>
    <s v="In-Store"/>
    <n v="4"/>
  </r>
  <r>
    <s v="ORD500121"/>
    <s v="2024-02-01"/>
    <x v="1"/>
    <s v="ST015"/>
    <x v="2"/>
    <x v="2"/>
    <s v="Berlin"/>
    <s v="Iced Latte"/>
    <x v="0"/>
    <n v="2"/>
    <n v="5.1100000000000003"/>
    <n v="10.220000000000001"/>
    <n v="0"/>
    <n v="0"/>
    <n v="10.220000000000001"/>
    <n v="4.08"/>
    <n v="6.14"/>
    <x v="0"/>
    <x v="3"/>
    <s v="Mobile App"/>
    <n v="3"/>
  </r>
  <r>
    <s v="ORD500290"/>
    <s v="2024-02-01"/>
    <x v="1"/>
    <s v="ST014"/>
    <x v="4"/>
    <x v="2"/>
    <s v="Birmingham"/>
    <s v="Whole Bean Coffee 250g"/>
    <x v="2"/>
    <n v="3"/>
    <n v="11.89"/>
    <n v="35.67"/>
    <n v="0"/>
    <n v="0"/>
    <n v="35.67"/>
    <n v="12.03"/>
    <n v="23.64"/>
    <x v="1"/>
    <x v="2"/>
    <s v="Drive-Thru"/>
    <n v="5"/>
  </r>
  <r>
    <s v="ORD500157"/>
    <s v="2024-02-02"/>
    <x v="1"/>
    <s v="ST004"/>
    <x v="3"/>
    <x v="3"/>
    <s v="Chicago"/>
    <s v="Whole Bean Coffee 250g"/>
    <x v="2"/>
    <n v="1"/>
    <n v="12.52"/>
    <n v="12.52"/>
    <n v="0"/>
    <n v="0"/>
    <n v="12.52"/>
    <n v="4.99"/>
    <n v="7.53"/>
    <x v="1"/>
    <x v="0"/>
    <s v="In-Store"/>
    <n v="5"/>
  </r>
  <r>
    <s v="ORD500032"/>
    <s v="2024-02-02"/>
    <x v="1"/>
    <s v="ST022"/>
    <x v="0"/>
    <x v="0"/>
    <s v="Bengaluru"/>
    <s v="Iced Tea"/>
    <x v="0"/>
    <n v="5"/>
    <n v="3.77"/>
    <n v="18.850000000000001"/>
    <n v="0"/>
    <n v="0"/>
    <n v="18.850000000000001"/>
    <n v="6.36"/>
    <n v="12.49"/>
    <x v="1"/>
    <x v="0"/>
    <s v="Drive-Thru"/>
    <n v="5"/>
  </r>
  <r>
    <s v="ORD500468"/>
    <s v="2024-02-04"/>
    <x v="1"/>
    <s v="ST012"/>
    <x v="4"/>
    <x v="2"/>
    <s v="Manchester"/>
    <s v="Tumbler"/>
    <x v="2"/>
    <n v="1"/>
    <n v="15.46"/>
    <n v="15.46"/>
    <n v="0.1"/>
    <n v="1.55"/>
    <n v="13.91"/>
    <n v="5.0999999999999996"/>
    <n v="8.81"/>
    <x v="1"/>
    <x v="0"/>
    <s v="In-Store"/>
    <n v="5"/>
  </r>
  <r>
    <s v="ORD500144"/>
    <s v="2024-02-07"/>
    <x v="1"/>
    <s v="ST016"/>
    <x v="2"/>
    <x v="2"/>
    <s v="Munich"/>
    <s v="Tumbler"/>
    <x v="2"/>
    <n v="4"/>
    <n v="15.02"/>
    <n v="60.08"/>
    <n v="0"/>
    <n v="0"/>
    <n v="60.08"/>
    <n v="23.66"/>
    <n v="36.42"/>
    <x v="1"/>
    <x v="0"/>
    <s v="Drive-Thru"/>
    <n v="5"/>
  </r>
  <r>
    <s v="ORD500226"/>
    <s v="2024-02-09"/>
    <x v="1"/>
    <s v="ST006"/>
    <x v="3"/>
    <x v="3"/>
    <s v="Houston"/>
    <s v="Club Sandwich"/>
    <x v="1"/>
    <n v="3"/>
    <n v="7.91"/>
    <n v="23.73"/>
    <n v="0"/>
    <n v="0"/>
    <n v="23.73"/>
    <n v="9.68"/>
    <n v="14.05"/>
    <x v="0"/>
    <x v="0"/>
    <s v="Drive-Thru"/>
    <n v="4"/>
  </r>
  <r>
    <s v="ORD500083"/>
    <s v="2024-02-12"/>
    <x v="1"/>
    <s v="ST024"/>
    <x v="5"/>
    <x v="0"/>
    <s v="Sydney"/>
    <s v="Americano"/>
    <x v="4"/>
    <n v="1"/>
    <n v="3.94"/>
    <n v="3.94"/>
    <n v="0"/>
    <n v="0"/>
    <n v="3.94"/>
    <n v="1.38"/>
    <n v="2.56"/>
    <x v="0"/>
    <x v="3"/>
    <s v="Mobile App"/>
    <n v="2"/>
  </r>
  <r>
    <s v="ORD500244"/>
    <s v="2024-02-12"/>
    <x v="1"/>
    <s v="ST007"/>
    <x v="3"/>
    <x v="3"/>
    <s v="Seattle"/>
    <s v="Bagel with Cream Cheese"/>
    <x v="3"/>
    <n v="1"/>
    <n v="3.47"/>
    <n v="3.47"/>
    <n v="0"/>
    <n v="0"/>
    <n v="3.47"/>
    <n v="1.1599999999999999"/>
    <n v="2.31"/>
    <x v="1"/>
    <x v="2"/>
    <s v="Drive-Thru"/>
    <n v="4"/>
  </r>
  <r>
    <s v="ORD500082"/>
    <s v="2024-02-14"/>
    <x v="1"/>
    <s v="ST015"/>
    <x v="2"/>
    <x v="2"/>
    <s v="Berlin"/>
    <s v="Whole Bean Coffee 250g"/>
    <x v="2"/>
    <n v="1"/>
    <n v="13.07"/>
    <n v="13.07"/>
    <n v="0"/>
    <n v="0"/>
    <n v="13.07"/>
    <n v="5.24"/>
    <n v="7.83"/>
    <x v="0"/>
    <x v="2"/>
    <s v="Mobile App"/>
    <n v="5"/>
  </r>
  <r>
    <s v="ORD500165"/>
    <s v="2024-02-15"/>
    <x v="1"/>
    <s v="ST005"/>
    <x v="3"/>
    <x v="3"/>
    <s v="Chicago"/>
    <s v="Ceramic Mug"/>
    <x v="2"/>
    <n v="3"/>
    <n v="8.82"/>
    <n v="26.46"/>
    <n v="0"/>
    <n v="0"/>
    <n v="26.46"/>
    <n v="8.74"/>
    <n v="17.72"/>
    <x v="1"/>
    <x v="3"/>
    <s v="Mobile App"/>
    <n v="4"/>
  </r>
  <r>
    <s v="ORD500444"/>
    <s v="2024-02-17"/>
    <x v="1"/>
    <s v="ST008"/>
    <x v="3"/>
    <x v="3"/>
    <s v="Seattle"/>
    <s v="Frappe"/>
    <x v="0"/>
    <n v="1"/>
    <n v="5.37"/>
    <n v="5.37"/>
    <n v="0"/>
    <n v="0"/>
    <n v="5.37"/>
    <n v="1.75"/>
    <n v="3.62"/>
    <x v="1"/>
    <x v="0"/>
    <s v="In-Store"/>
    <n v="5"/>
  </r>
  <r>
    <s v="ORD500341"/>
    <s v="2024-02-17"/>
    <x v="1"/>
    <s v="ST008"/>
    <x v="3"/>
    <x v="3"/>
    <s v="Seattle"/>
    <s v="Croissant"/>
    <x v="3"/>
    <n v="2"/>
    <n v="3.27"/>
    <n v="6.54"/>
    <n v="0.05"/>
    <n v="0.33"/>
    <n v="6.21"/>
    <n v="2.11"/>
    <n v="4.0999999999999996"/>
    <x v="1"/>
    <x v="1"/>
    <s v="In-Store"/>
    <n v="5"/>
  </r>
  <r>
    <s v="ORD500472"/>
    <s v="2024-02-18"/>
    <x v="1"/>
    <s v="ST023"/>
    <x v="0"/>
    <x v="0"/>
    <s v="Bengaluru"/>
    <s v="Espresso"/>
    <x v="4"/>
    <n v="3"/>
    <n v="3.38"/>
    <n v="10.14"/>
    <n v="0"/>
    <n v="0"/>
    <n v="10.14"/>
    <n v="3.32"/>
    <n v="6.82"/>
    <x v="0"/>
    <x v="0"/>
    <s v="In-Store"/>
    <n v="5"/>
  </r>
  <r>
    <s v="ORD500477"/>
    <s v="2024-02-18"/>
    <x v="1"/>
    <s v="ST015"/>
    <x v="2"/>
    <x v="2"/>
    <s v="Berlin"/>
    <s v="Avocado Toast"/>
    <x v="1"/>
    <n v="1"/>
    <n v="6.59"/>
    <n v="6.59"/>
    <n v="0"/>
    <n v="0"/>
    <n v="6.59"/>
    <n v="2.3199999999999998"/>
    <n v="4.2699999999999996"/>
    <x v="0"/>
    <x v="2"/>
    <s v="Drive-Thru"/>
    <n v="3"/>
  </r>
  <r>
    <s v="ORD500005"/>
    <s v="2024-02-19"/>
    <x v="1"/>
    <s v="ST022"/>
    <x v="0"/>
    <x v="0"/>
    <s v="Bengaluru"/>
    <s v="Bagel with Cream Cheese"/>
    <x v="3"/>
    <n v="1"/>
    <n v="3.69"/>
    <n v="3.69"/>
    <n v="0"/>
    <n v="0"/>
    <n v="3.69"/>
    <n v="1.25"/>
    <n v="2.44"/>
    <x v="1"/>
    <x v="0"/>
    <s v="In-Store"/>
    <n v="5"/>
  </r>
  <r>
    <s v="ORD500425"/>
    <s v="2024-02-20"/>
    <x v="1"/>
    <s v="ST017"/>
    <x v="2"/>
    <x v="2"/>
    <s v="Munich"/>
    <s v="Granola Bowl"/>
    <x v="1"/>
    <n v="4"/>
    <n v="7.07"/>
    <n v="28.28"/>
    <n v="0.05"/>
    <n v="1.41"/>
    <n v="26.87"/>
    <n v="9.2100000000000009"/>
    <n v="17.66"/>
    <x v="0"/>
    <x v="2"/>
    <s v="In-Store"/>
    <n v="5"/>
  </r>
  <r>
    <s v="ORD500133"/>
    <s v="2024-02-20"/>
    <x v="1"/>
    <s v="ST015"/>
    <x v="2"/>
    <x v="2"/>
    <s v="Berlin"/>
    <s v="Tumbler"/>
    <x v="2"/>
    <n v="1"/>
    <n v="14.57"/>
    <n v="14.57"/>
    <n v="0"/>
    <n v="0"/>
    <n v="14.57"/>
    <n v="5.76"/>
    <n v="8.81"/>
    <x v="1"/>
    <x v="0"/>
    <s v="In-Store"/>
    <n v="4"/>
  </r>
  <r>
    <s v="ORD500065"/>
    <s v="2024-02-21"/>
    <x v="1"/>
    <s v="ST008"/>
    <x v="3"/>
    <x v="3"/>
    <s v="Seattle"/>
    <s v="Cold Brew"/>
    <x v="0"/>
    <n v="5"/>
    <n v="4.62"/>
    <n v="23.1"/>
    <n v="0"/>
    <n v="0"/>
    <n v="23.1"/>
    <n v="8.58"/>
    <n v="14.52"/>
    <x v="2"/>
    <x v="1"/>
    <s v="In-Store"/>
    <n v="5"/>
  </r>
  <r>
    <s v="ORD500434"/>
    <s v="2024-02-23"/>
    <x v="1"/>
    <s v="ST027"/>
    <x v="6"/>
    <x v="3"/>
    <s v="Vancouver"/>
    <s v="Iced Latte"/>
    <x v="0"/>
    <n v="1"/>
    <n v="4.79"/>
    <n v="4.79"/>
    <n v="0.05"/>
    <n v="0.24"/>
    <n v="4.55"/>
    <n v="1.87"/>
    <n v="2.68"/>
    <x v="1"/>
    <x v="0"/>
    <s v="Mobile App"/>
    <n v="5"/>
  </r>
  <r>
    <s v="ORD500441"/>
    <s v="2024-02-24"/>
    <x v="1"/>
    <s v="ST005"/>
    <x v="3"/>
    <x v="3"/>
    <s v="Chicago"/>
    <s v="Club Sandwich"/>
    <x v="1"/>
    <n v="3"/>
    <n v="7.56"/>
    <n v="22.68"/>
    <n v="0"/>
    <n v="0"/>
    <n v="22.68"/>
    <n v="9.48"/>
    <n v="13.2"/>
    <x v="2"/>
    <x v="0"/>
    <s v="Drive-Thru"/>
    <n v="4"/>
  </r>
  <r>
    <s v="ORD500442"/>
    <s v="2024-02-26"/>
    <x v="1"/>
    <s v="ST028"/>
    <x v="1"/>
    <x v="1"/>
    <s v="Dubai"/>
    <s v="Granola Bowl"/>
    <x v="1"/>
    <n v="3"/>
    <n v="6.83"/>
    <n v="20.49"/>
    <n v="0"/>
    <n v="0"/>
    <n v="20.49"/>
    <n v="6.6"/>
    <n v="13.89"/>
    <x v="1"/>
    <x v="2"/>
    <s v="In-Store"/>
    <n v="5"/>
  </r>
  <r>
    <s v="ORD500210"/>
    <s v="2024-02-27"/>
    <x v="1"/>
    <s v="ST005"/>
    <x v="3"/>
    <x v="3"/>
    <s v="Chicago"/>
    <s v="Croissant"/>
    <x v="3"/>
    <n v="4"/>
    <n v="3.22"/>
    <n v="12.88"/>
    <n v="0.1"/>
    <n v="1.29"/>
    <n v="11.59"/>
    <n v="4.7699999999999996"/>
    <n v="6.82"/>
    <x v="1"/>
    <x v="0"/>
    <s v="Mobile App"/>
    <n v="4"/>
  </r>
  <r>
    <s v="ORD500147"/>
    <s v="2024-02-28"/>
    <x v="1"/>
    <s v="ST024"/>
    <x v="5"/>
    <x v="0"/>
    <s v="Sydney"/>
    <s v="Ceramic Mug"/>
    <x v="2"/>
    <n v="2"/>
    <n v="8.61"/>
    <n v="17.22"/>
    <n v="0"/>
    <n v="0"/>
    <n v="17.22"/>
    <n v="6.14"/>
    <n v="11.08"/>
    <x v="2"/>
    <x v="2"/>
    <s v="Mobile App"/>
    <n v="4"/>
  </r>
  <r>
    <s v="ORD500054"/>
    <s v="2024-02-29"/>
    <x v="1"/>
    <s v="ST013"/>
    <x v="4"/>
    <x v="2"/>
    <s v="Birmingham"/>
    <s v="Ceramic Mug"/>
    <x v="2"/>
    <n v="4"/>
    <n v="9.15"/>
    <n v="36.6"/>
    <n v="0.1"/>
    <n v="3.66"/>
    <n v="32.94"/>
    <n v="13.07"/>
    <n v="19.87"/>
    <x v="0"/>
    <x v="0"/>
    <s v="Drive-Thru"/>
    <n v="4"/>
  </r>
  <r>
    <s v="ORD500487"/>
    <s v="2024-03-01"/>
    <x v="2"/>
    <s v="ST011"/>
    <x v="4"/>
    <x v="2"/>
    <s v="Manchester"/>
    <s v="Americano"/>
    <x v="4"/>
    <n v="1"/>
    <n v="3.67"/>
    <n v="3.67"/>
    <n v="0"/>
    <n v="0"/>
    <n v="3.67"/>
    <n v="1.21"/>
    <n v="2.46"/>
    <x v="0"/>
    <x v="0"/>
    <s v="In-Store"/>
    <n v="5"/>
  </r>
  <r>
    <s v="ORD500419"/>
    <s v="2024-03-01"/>
    <x v="2"/>
    <s v="ST010"/>
    <x v="4"/>
    <x v="2"/>
    <s v="London"/>
    <s v="Frappe"/>
    <x v="0"/>
    <n v="2"/>
    <n v="5.32"/>
    <n v="10.64"/>
    <n v="0"/>
    <n v="0"/>
    <n v="10.64"/>
    <n v="3.45"/>
    <n v="7.19"/>
    <x v="1"/>
    <x v="3"/>
    <s v="In-Store"/>
    <n v="5"/>
  </r>
  <r>
    <s v="ORD500435"/>
    <s v="2024-03-03"/>
    <x v="2"/>
    <s v="ST014"/>
    <x v="4"/>
    <x v="2"/>
    <s v="Birmingham"/>
    <s v="Cappuccino"/>
    <x v="4"/>
    <n v="1"/>
    <n v="4.0999999999999996"/>
    <n v="4.0999999999999996"/>
    <n v="0"/>
    <n v="0"/>
    <n v="4.0999999999999996"/>
    <n v="1.47"/>
    <n v="2.63"/>
    <x v="0"/>
    <x v="2"/>
    <s v="In-Store"/>
    <n v="3"/>
  </r>
  <r>
    <s v="ORD500461"/>
    <s v="2024-03-05"/>
    <x v="2"/>
    <s v="ST018"/>
    <x v="2"/>
    <x v="2"/>
    <s v="Hamburg"/>
    <s v="Cold Brew"/>
    <x v="0"/>
    <n v="1"/>
    <n v="4.82"/>
    <n v="4.82"/>
    <n v="0"/>
    <n v="0"/>
    <n v="4.82"/>
    <n v="1.81"/>
    <n v="3.01"/>
    <x v="0"/>
    <x v="0"/>
    <s v="In-Store"/>
    <n v="3"/>
  </r>
  <r>
    <s v="ORD500384"/>
    <s v="2024-03-06"/>
    <x v="2"/>
    <s v="ST022"/>
    <x v="0"/>
    <x v="0"/>
    <s v="Bengaluru"/>
    <s v="Chocolate Chip Cookie"/>
    <x v="3"/>
    <n v="2"/>
    <n v="2.54"/>
    <n v="5.08"/>
    <n v="0.1"/>
    <n v="0.51"/>
    <n v="4.57"/>
    <n v="1.75"/>
    <n v="2.82"/>
    <x v="1"/>
    <x v="0"/>
    <s v="Mobile App"/>
    <n v="4"/>
  </r>
  <r>
    <s v="ORD500448"/>
    <s v="2024-03-06"/>
    <x v="2"/>
    <s v="ST021"/>
    <x v="0"/>
    <x v="0"/>
    <s v="Delhi"/>
    <s v="Cold Brew"/>
    <x v="0"/>
    <n v="3"/>
    <n v="4.4800000000000004"/>
    <n v="13.44"/>
    <n v="0.15"/>
    <n v="2.02"/>
    <n v="11.42"/>
    <n v="4.0999999999999996"/>
    <n v="7.32"/>
    <x v="1"/>
    <x v="0"/>
    <s v="In-Store"/>
    <n v="4"/>
  </r>
  <r>
    <s v="ORD500200"/>
    <s v="2024-03-09"/>
    <x v="2"/>
    <s v="ST029"/>
    <x v="1"/>
    <x v="1"/>
    <s v="Dubai"/>
    <s v="Cappuccino"/>
    <x v="4"/>
    <n v="1"/>
    <n v="4.3499999999999996"/>
    <n v="4.3499999999999996"/>
    <n v="0"/>
    <n v="0"/>
    <n v="4.3499999999999996"/>
    <n v="1.43"/>
    <n v="2.92"/>
    <x v="0"/>
    <x v="0"/>
    <s v="In-Store"/>
    <n v="5"/>
  </r>
  <r>
    <s v="ORD500000"/>
    <s v="2024-03-09"/>
    <x v="2"/>
    <s v="ST026"/>
    <x v="6"/>
    <x v="3"/>
    <s v="Toronto"/>
    <s v="Bagel with Cream Cheese"/>
    <x v="3"/>
    <n v="1"/>
    <n v="3.59"/>
    <n v="3.59"/>
    <n v="0"/>
    <n v="0"/>
    <n v="3.59"/>
    <n v="1.45"/>
    <n v="2.14"/>
    <x v="0"/>
    <x v="0"/>
    <s v="Mobile App"/>
    <n v="4"/>
  </r>
  <r>
    <s v="ORD500185"/>
    <s v="2024-03-11"/>
    <x v="2"/>
    <s v="ST003"/>
    <x v="3"/>
    <x v="3"/>
    <s v="Los Angeles"/>
    <s v="Bagel with Cream Cheese"/>
    <x v="3"/>
    <n v="1"/>
    <n v="3.56"/>
    <n v="3.56"/>
    <n v="0.05"/>
    <n v="0.18"/>
    <n v="3.38"/>
    <n v="1.27"/>
    <n v="2.11"/>
    <x v="0"/>
    <x v="3"/>
    <s v="Drive-Thru"/>
    <n v="5"/>
  </r>
  <r>
    <s v="ORD500304"/>
    <s v="2024-03-11"/>
    <x v="2"/>
    <s v="ST030"/>
    <x v="1"/>
    <x v="1"/>
    <s v="Abu Dhabi"/>
    <s v="Whole Bean Coffee 250g"/>
    <x v="2"/>
    <n v="4"/>
    <n v="12.75"/>
    <n v="51"/>
    <n v="0"/>
    <n v="0"/>
    <n v="51"/>
    <n v="17.260000000000002"/>
    <n v="33.74"/>
    <x v="0"/>
    <x v="1"/>
    <s v="In-Store"/>
    <n v="5"/>
  </r>
  <r>
    <s v="ORD500440"/>
    <s v="2024-03-12"/>
    <x v="2"/>
    <s v="ST001"/>
    <x v="3"/>
    <x v="3"/>
    <s v="New York"/>
    <s v="Caesar Salad"/>
    <x v="1"/>
    <n v="4"/>
    <n v="7.89"/>
    <n v="31.56"/>
    <n v="0.05"/>
    <n v="1.58"/>
    <n v="29.98"/>
    <n v="10.42"/>
    <n v="19.559999999999999"/>
    <x v="1"/>
    <x v="0"/>
    <s v="In-Store"/>
    <n v="3"/>
  </r>
  <r>
    <s v="ORD500463"/>
    <s v="2024-03-15"/>
    <x v="2"/>
    <s v="ST030"/>
    <x v="1"/>
    <x v="1"/>
    <s v="Abu Dhabi"/>
    <s v="Avocado Toast"/>
    <x v="1"/>
    <n v="1"/>
    <n v="6.47"/>
    <n v="6.47"/>
    <n v="0"/>
    <n v="0"/>
    <n v="6.47"/>
    <n v="2.11"/>
    <n v="4.3600000000000003"/>
    <x v="0"/>
    <x v="1"/>
    <s v="In-Store"/>
    <n v="4"/>
  </r>
  <r>
    <s v="ORD500106"/>
    <s v="2024-03-17"/>
    <x v="2"/>
    <s v="ST004"/>
    <x v="3"/>
    <x v="3"/>
    <s v="Chicago"/>
    <s v="Iced Tea"/>
    <x v="0"/>
    <n v="1"/>
    <n v="3.95"/>
    <n v="3.95"/>
    <n v="0.1"/>
    <n v="0.4"/>
    <n v="3.55"/>
    <n v="1.18"/>
    <n v="2.37"/>
    <x v="1"/>
    <x v="3"/>
    <s v="Mobile App"/>
    <n v="5"/>
  </r>
  <r>
    <s v="ORD500063"/>
    <s v="2024-03-17"/>
    <x v="2"/>
    <s v="ST025"/>
    <x v="5"/>
    <x v="0"/>
    <s v="Melbourne"/>
    <s v="Whole Bean Coffee 250g"/>
    <x v="2"/>
    <n v="1"/>
    <n v="12.89"/>
    <n v="12.89"/>
    <n v="0"/>
    <n v="0"/>
    <n v="12.89"/>
    <n v="4.93"/>
    <n v="7.96"/>
    <x v="1"/>
    <x v="0"/>
    <s v="In-Store"/>
    <n v="3"/>
  </r>
  <r>
    <s v="ORD500447"/>
    <s v="2024-03-17"/>
    <x v="2"/>
    <s v="ST003"/>
    <x v="3"/>
    <x v="3"/>
    <s v="Los Angeles"/>
    <s v="Blueberry Muffin"/>
    <x v="3"/>
    <n v="1"/>
    <n v="3.39"/>
    <n v="3.39"/>
    <n v="0"/>
    <n v="0"/>
    <n v="3.39"/>
    <n v="1.42"/>
    <n v="1.97"/>
    <x v="1"/>
    <x v="0"/>
    <s v="In-Store"/>
    <n v="3"/>
  </r>
  <r>
    <s v="ORD500368"/>
    <s v="2024-03-19"/>
    <x v="2"/>
    <s v="ST003"/>
    <x v="3"/>
    <x v="3"/>
    <s v="Los Angeles"/>
    <s v="Mocha"/>
    <x v="4"/>
    <n v="2"/>
    <n v="4.71"/>
    <n v="9.42"/>
    <n v="0"/>
    <n v="0"/>
    <n v="9.42"/>
    <n v="3.33"/>
    <n v="6.09"/>
    <x v="0"/>
    <x v="1"/>
    <s v="In-Store"/>
    <n v="1"/>
  </r>
  <r>
    <s v="ORD500079"/>
    <s v="2024-03-19"/>
    <x v="2"/>
    <s v="ST029"/>
    <x v="1"/>
    <x v="1"/>
    <s v="Dubai"/>
    <s v="Caesar Salad"/>
    <x v="1"/>
    <n v="1"/>
    <n v="7.95"/>
    <n v="7.95"/>
    <n v="0"/>
    <n v="0"/>
    <n v="7.95"/>
    <n v="2.63"/>
    <n v="5.32"/>
    <x v="1"/>
    <x v="1"/>
    <s v="Mobile App"/>
    <n v="4"/>
  </r>
  <r>
    <s v="ORD500367"/>
    <s v="2024-03-19"/>
    <x v="2"/>
    <s v="ST006"/>
    <x v="3"/>
    <x v="3"/>
    <s v="Houston"/>
    <s v="Club Sandwich"/>
    <x v="1"/>
    <n v="1"/>
    <n v="7.71"/>
    <n v="7.71"/>
    <n v="0"/>
    <n v="0"/>
    <n v="7.71"/>
    <n v="2.5"/>
    <n v="5.21"/>
    <x v="1"/>
    <x v="0"/>
    <s v="Mobile App"/>
    <n v="3"/>
  </r>
  <r>
    <s v="ORD500134"/>
    <s v="2024-03-19"/>
    <x v="2"/>
    <s v="ST002"/>
    <x v="3"/>
    <x v="3"/>
    <s v="New York"/>
    <s v="Caesar Salad"/>
    <x v="1"/>
    <n v="2"/>
    <n v="7.94"/>
    <n v="15.88"/>
    <n v="0"/>
    <n v="0"/>
    <n v="15.88"/>
    <n v="5.94"/>
    <n v="9.94"/>
    <x v="1"/>
    <x v="1"/>
    <s v="In-Store"/>
    <n v="5"/>
  </r>
  <r>
    <s v="ORD500026"/>
    <s v="2024-03-20"/>
    <x v="2"/>
    <s v="ST025"/>
    <x v="5"/>
    <x v="0"/>
    <s v="Melbourne"/>
    <s v="Whole Bean Coffee 250g"/>
    <x v="2"/>
    <n v="1"/>
    <n v="12.41"/>
    <n v="12.41"/>
    <n v="0"/>
    <n v="0"/>
    <n v="12.41"/>
    <n v="4.74"/>
    <n v="7.67"/>
    <x v="0"/>
    <x v="2"/>
    <s v="Mobile App"/>
    <n v="4"/>
  </r>
  <r>
    <s v="ORD500420"/>
    <s v="2024-03-24"/>
    <x v="2"/>
    <s v="ST017"/>
    <x v="2"/>
    <x v="2"/>
    <s v="Munich"/>
    <s v="Avocado Toast"/>
    <x v="1"/>
    <n v="2"/>
    <n v="6.2"/>
    <n v="12.4"/>
    <n v="0.15"/>
    <n v="1.86"/>
    <n v="10.54"/>
    <n v="4.0999999999999996"/>
    <n v="6.44"/>
    <x v="0"/>
    <x v="2"/>
    <s v="In-Store"/>
    <n v="4"/>
  </r>
  <r>
    <s v="ORD500009"/>
    <s v="2024-03-27"/>
    <x v="2"/>
    <s v="ST002"/>
    <x v="3"/>
    <x v="3"/>
    <s v="New York"/>
    <s v="Iced Tea"/>
    <x v="0"/>
    <n v="1"/>
    <n v="3.72"/>
    <n v="3.72"/>
    <n v="0.1"/>
    <n v="0.37"/>
    <n v="3.35"/>
    <n v="1.1000000000000001"/>
    <n v="2.25"/>
    <x v="0"/>
    <x v="0"/>
    <s v="In-Store"/>
    <n v="5"/>
  </r>
  <r>
    <s v="ORD500241"/>
    <s v="2024-03-28"/>
    <x v="2"/>
    <s v="ST012"/>
    <x v="4"/>
    <x v="2"/>
    <s v="Manchester"/>
    <s v="Chocolate Chip Cookie"/>
    <x v="3"/>
    <n v="3"/>
    <n v="2.46"/>
    <n v="7.38"/>
    <n v="0"/>
    <n v="0"/>
    <n v="7.38"/>
    <n v="2.65"/>
    <n v="4.7300000000000004"/>
    <x v="1"/>
    <x v="1"/>
    <s v="Mobile App"/>
    <n v="5"/>
  </r>
  <r>
    <s v="ORD500404"/>
    <s v="2024-03-28"/>
    <x v="2"/>
    <s v="ST020"/>
    <x v="0"/>
    <x v="0"/>
    <s v="Mumbai"/>
    <s v="Granola Bowl"/>
    <x v="1"/>
    <n v="1"/>
    <n v="7.03"/>
    <n v="7.03"/>
    <n v="0"/>
    <n v="0"/>
    <n v="7.03"/>
    <n v="2.81"/>
    <n v="4.22"/>
    <x v="0"/>
    <x v="0"/>
    <s v="In-Store"/>
    <n v="5"/>
  </r>
  <r>
    <s v="ORD500142"/>
    <s v="2024-03-29"/>
    <x v="2"/>
    <s v="ST026"/>
    <x v="6"/>
    <x v="3"/>
    <s v="Toronto"/>
    <s v="Whole Bean Coffee 250g"/>
    <x v="2"/>
    <n v="2"/>
    <n v="12.86"/>
    <n v="25.72"/>
    <n v="0"/>
    <n v="0"/>
    <n v="25.72"/>
    <n v="8.43"/>
    <n v="17.29"/>
    <x v="0"/>
    <x v="2"/>
    <s v="In-Store"/>
    <n v="5"/>
  </r>
  <r>
    <s v="ORD500035"/>
    <s v="2024-03-31"/>
    <x v="2"/>
    <s v="ST020"/>
    <x v="0"/>
    <x v="0"/>
    <s v="Mumbai"/>
    <s v="Blueberry Muffin"/>
    <x v="3"/>
    <n v="2"/>
    <n v="3.32"/>
    <n v="6.64"/>
    <n v="0"/>
    <n v="0"/>
    <n v="6.64"/>
    <n v="2.34"/>
    <n v="4.3"/>
    <x v="0"/>
    <x v="1"/>
    <s v="In-Store"/>
    <n v="5"/>
  </r>
  <r>
    <s v="ORD500014"/>
    <s v="2024-04-01"/>
    <x v="3"/>
    <s v="ST008"/>
    <x v="3"/>
    <x v="3"/>
    <s v="Seattle"/>
    <s v="Bagel with Cream Cheese"/>
    <x v="3"/>
    <n v="1"/>
    <n v="3.55"/>
    <n v="3.55"/>
    <n v="0"/>
    <n v="0"/>
    <n v="3.55"/>
    <n v="1.34"/>
    <n v="2.21"/>
    <x v="1"/>
    <x v="2"/>
    <s v="Drive-Thru"/>
    <n v="5"/>
  </r>
  <r>
    <s v="ORD500491"/>
    <s v="2024-04-01"/>
    <x v="3"/>
    <s v="ST011"/>
    <x v="4"/>
    <x v="2"/>
    <s v="Manchester"/>
    <s v="Latte"/>
    <x v="4"/>
    <n v="1"/>
    <n v="4.6100000000000003"/>
    <n v="4.6100000000000003"/>
    <n v="0"/>
    <n v="0"/>
    <n v="4.6100000000000003"/>
    <n v="1.61"/>
    <n v="3"/>
    <x v="1"/>
    <x v="3"/>
    <s v="In-Store"/>
    <n v="5"/>
  </r>
  <r>
    <s v="ORD500357"/>
    <s v="2024-04-04"/>
    <x v="3"/>
    <s v="ST028"/>
    <x v="1"/>
    <x v="1"/>
    <s v="Dubai"/>
    <s v="Cappuccino"/>
    <x v="4"/>
    <n v="2"/>
    <n v="4.41"/>
    <n v="8.82"/>
    <n v="0"/>
    <n v="0"/>
    <n v="8.82"/>
    <n v="3.64"/>
    <n v="5.18"/>
    <x v="1"/>
    <x v="3"/>
    <s v="Mobile App"/>
    <n v="5"/>
  </r>
  <r>
    <s v="ORD500251"/>
    <s v="2024-04-04"/>
    <x v="3"/>
    <s v="ST001"/>
    <x v="3"/>
    <x v="3"/>
    <s v="New York"/>
    <s v="Croissant"/>
    <x v="3"/>
    <n v="4"/>
    <n v="3.27"/>
    <n v="13.08"/>
    <n v="0"/>
    <n v="0"/>
    <n v="13.08"/>
    <n v="5.2"/>
    <n v="7.88"/>
    <x v="1"/>
    <x v="0"/>
    <s v="In-Store"/>
    <n v="4"/>
  </r>
  <r>
    <s v="ORD500136"/>
    <s v="2024-04-07"/>
    <x v="3"/>
    <s v="ST020"/>
    <x v="0"/>
    <x v="0"/>
    <s v="Mumbai"/>
    <s v="Whole Bean Coffee 250g"/>
    <x v="2"/>
    <n v="3"/>
    <n v="11.91"/>
    <n v="35.729999999999997"/>
    <n v="0.1"/>
    <n v="3.57"/>
    <n v="32.159999999999997"/>
    <n v="11.2"/>
    <n v="20.96"/>
    <x v="0"/>
    <x v="0"/>
    <s v="Drive-Thru"/>
    <n v="5"/>
  </r>
  <r>
    <s v="ORD500261"/>
    <s v="2024-04-07"/>
    <x v="3"/>
    <s v="ST004"/>
    <x v="3"/>
    <x v="3"/>
    <s v="Chicago"/>
    <s v="Granola Bowl"/>
    <x v="1"/>
    <n v="3"/>
    <n v="7.14"/>
    <n v="21.42"/>
    <n v="0"/>
    <n v="0"/>
    <n v="21.42"/>
    <n v="8.84"/>
    <n v="12.58"/>
    <x v="0"/>
    <x v="2"/>
    <s v="Drive-Thru"/>
    <n v="5"/>
  </r>
  <r>
    <s v="ORD500421"/>
    <s v="2024-04-12"/>
    <x v="3"/>
    <s v="ST017"/>
    <x v="2"/>
    <x v="2"/>
    <s v="Munich"/>
    <s v="Caesar Salad"/>
    <x v="1"/>
    <n v="3"/>
    <n v="8.14"/>
    <n v="24.42"/>
    <n v="0"/>
    <n v="0"/>
    <n v="24.42"/>
    <n v="10.02"/>
    <n v="14.4"/>
    <x v="2"/>
    <x v="0"/>
    <s v="Drive-Thru"/>
    <n v="5"/>
  </r>
  <r>
    <s v="ORD500246"/>
    <s v="2024-04-15"/>
    <x v="3"/>
    <s v="ST012"/>
    <x v="4"/>
    <x v="2"/>
    <s v="Manchester"/>
    <s v="Espresso"/>
    <x v="4"/>
    <n v="1"/>
    <n v="3.39"/>
    <n v="3.39"/>
    <n v="0"/>
    <n v="0"/>
    <n v="3.39"/>
    <n v="1.1100000000000001"/>
    <n v="2.2799999999999998"/>
    <x v="1"/>
    <x v="2"/>
    <s v="In-Store"/>
    <n v="4"/>
  </r>
  <r>
    <s v="ORD500091"/>
    <s v="2024-04-15"/>
    <x v="3"/>
    <s v="ST015"/>
    <x v="2"/>
    <x v="2"/>
    <s v="Berlin"/>
    <s v="Latte"/>
    <x v="4"/>
    <n v="2"/>
    <n v="4.32"/>
    <n v="8.64"/>
    <n v="0"/>
    <n v="0"/>
    <n v="8.64"/>
    <n v="3.23"/>
    <n v="5.41"/>
    <x v="0"/>
    <x v="0"/>
    <s v="In-Store"/>
    <n v="4"/>
  </r>
  <r>
    <s v="ORD500096"/>
    <s v="2024-04-19"/>
    <x v="3"/>
    <s v="ST010"/>
    <x v="4"/>
    <x v="2"/>
    <s v="London"/>
    <s v="Granola Bowl"/>
    <x v="1"/>
    <n v="3"/>
    <n v="6.66"/>
    <n v="19.98"/>
    <n v="0"/>
    <n v="0"/>
    <n v="19.98"/>
    <n v="7.49"/>
    <n v="12.49"/>
    <x v="1"/>
    <x v="3"/>
    <s v="In-Store"/>
    <n v="4"/>
  </r>
  <r>
    <s v="ORD500313"/>
    <s v="2024-04-21"/>
    <x v="3"/>
    <s v="ST001"/>
    <x v="3"/>
    <x v="3"/>
    <s v="New York"/>
    <s v="Frappe"/>
    <x v="0"/>
    <n v="1"/>
    <n v="5.34"/>
    <n v="5.34"/>
    <n v="0"/>
    <n v="0"/>
    <n v="5.34"/>
    <n v="2.0299999999999998"/>
    <n v="3.31"/>
    <x v="1"/>
    <x v="2"/>
    <s v="Drive-Thru"/>
    <n v="5"/>
  </r>
  <r>
    <s v="ORD500494"/>
    <s v="2024-04-24"/>
    <x v="3"/>
    <s v="ST027"/>
    <x v="6"/>
    <x v="3"/>
    <s v="Vancouver"/>
    <s v="Granola Bowl"/>
    <x v="1"/>
    <n v="1"/>
    <n v="7.17"/>
    <n v="7.17"/>
    <n v="0"/>
    <n v="0"/>
    <n v="7.17"/>
    <n v="2.81"/>
    <n v="4.3600000000000003"/>
    <x v="1"/>
    <x v="0"/>
    <s v="In-Store"/>
    <n v="5"/>
  </r>
  <r>
    <s v="ORD500242"/>
    <s v="2024-04-27"/>
    <x v="3"/>
    <s v="ST009"/>
    <x v="4"/>
    <x v="2"/>
    <s v="London"/>
    <s v="Iced Tea"/>
    <x v="0"/>
    <n v="1"/>
    <n v="3.88"/>
    <n v="3.88"/>
    <n v="0"/>
    <n v="0"/>
    <n v="3.88"/>
    <n v="1.34"/>
    <n v="2.54"/>
    <x v="1"/>
    <x v="2"/>
    <s v="Drive-Thru"/>
    <n v="5"/>
  </r>
  <r>
    <s v="ORD500074"/>
    <s v="2024-04-28"/>
    <x v="3"/>
    <s v="ST014"/>
    <x v="4"/>
    <x v="2"/>
    <s v="Birmingham"/>
    <s v="Chocolate Chip Cookie"/>
    <x v="3"/>
    <n v="2"/>
    <n v="2.52"/>
    <n v="5.04"/>
    <n v="0.1"/>
    <n v="0.5"/>
    <n v="4.54"/>
    <n v="1.74"/>
    <n v="2.8"/>
    <x v="0"/>
    <x v="3"/>
    <s v="Drive-Thru"/>
    <n v="4"/>
  </r>
  <r>
    <s v="ORD500481"/>
    <s v="2024-05-05"/>
    <x v="4"/>
    <s v="ST028"/>
    <x v="1"/>
    <x v="1"/>
    <s v="Dubai"/>
    <s v="Americano"/>
    <x v="4"/>
    <n v="2"/>
    <n v="3.8"/>
    <n v="7.6"/>
    <n v="0"/>
    <n v="0"/>
    <n v="7.6"/>
    <n v="2.44"/>
    <n v="5.16"/>
    <x v="0"/>
    <x v="3"/>
    <s v="In-Store"/>
    <n v="3"/>
  </r>
  <r>
    <s v="ORD500127"/>
    <s v="2024-05-06"/>
    <x v="4"/>
    <s v="ST024"/>
    <x v="5"/>
    <x v="0"/>
    <s v="Sydney"/>
    <s v="Croissant"/>
    <x v="3"/>
    <n v="2"/>
    <n v="3.05"/>
    <n v="6.1"/>
    <n v="0.1"/>
    <n v="0.61"/>
    <n v="5.49"/>
    <n v="2.12"/>
    <n v="3.37"/>
    <x v="1"/>
    <x v="2"/>
    <s v="Drive-Thru"/>
    <n v="4"/>
  </r>
  <r>
    <s v="ORD500048"/>
    <s v="2024-05-07"/>
    <x v="4"/>
    <s v="ST005"/>
    <x v="3"/>
    <x v="3"/>
    <s v="Chicago"/>
    <s v="Iced Latte"/>
    <x v="0"/>
    <n v="3"/>
    <n v="5"/>
    <n v="15"/>
    <n v="0"/>
    <n v="0"/>
    <n v="15"/>
    <n v="5.69"/>
    <n v="9.31"/>
    <x v="1"/>
    <x v="0"/>
    <s v="In-Store"/>
    <n v="3"/>
  </r>
  <r>
    <s v="ORD500130"/>
    <s v="2024-05-09"/>
    <x v="4"/>
    <s v="ST011"/>
    <x v="4"/>
    <x v="2"/>
    <s v="Manchester"/>
    <s v="Frappe"/>
    <x v="0"/>
    <n v="4"/>
    <n v="5.41"/>
    <n v="21.64"/>
    <n v="0.05"/>
    <n v="1.08"/>
    <n v="20.56"/>
    <n v="7.27"/>
    <n v="13.29"/>
    <x v="1"/>
    <x v="0"/>
    <s v="In-Store"/>
    <n v="4"/>
  </r>
  <r>
    <s v="ORD500478"/>
    <s v="2024-05-09"/>
    <x v="4"/>
    <s v="ST026"/>
    <x v="6"/>
    <x v="3"/>
    <s v="Toronto"/>
    <s v="Latte"/>
    <x v="4"/>
    <n v="4"/>
    <n v="4.5199999999999996"/>
    <n v="18.079999999999998"/>
    <n v="0"/>
    <n v="0"/>
    <n v="18.079999999999998"/>
    <n v="5.95"/>
    <n v="12.13"/>
    <x v="1"/>
    <x v="2"/>
    <s v="In-Store"/>
    <n v="3"/>
  </r>
  <r>
    <s v="ORD500030"/>
    <s v="2024-05-11"/>
    <x v="4"/>
    <s v="ST004"/>
    <x v="3"/>
    <x v="3"/>
    <s v="Chicago"/>
    <s v="Whole Bean Coffee 250g"/>
    <x v="2"/>
    <n v="3"/>
    <n v="12.32"/>
    <n v="36.96"/>
    <n v="0"/>
    <n v="0"/>
    <n v="36.96"/>
    <n v="13.19"/>
    <n v="23.77"/>
    <x v="2"/>
    <x v="2"/>
    <s v="Mobile App"/>
    <n v="5"/>
  </r>
  <r>
    <s v="ORD500348"/>
    <s v="2024-05-13"/>
    <x v="4"/>
    <s v="ST030"/>
    <x v="1"/>
    <x v="1"/>
    <s v="Abu Dhabi"/>
    <s v="Caesar Salad"/>
    <x v="1"/>
    <n v="2"/>
    <n v="8.35"/>
    <n v="16.7"/>
    <n v="0"/>
    <n v="0"/>
    <n v="16.7"/>
    <n v="6.36"/>
    <n v="10.34"/>
    <x v="1"/>
    <x v="0"/>
    <s v="In-Store"/>
    <n v="5"/>
  </r>
  <r>
    <s v="ORD500044"/>
    <s v="2024-05-16"/>
    <x v="4"/>
    <s v="ST012"/>
    <x v="4"/>
    <x v="2"/>
    <s v="Manchester"/>
    <s v="Caesar Salad"/>
    <x v="1"/>
    <n v="1"/>
    <n v="8.57"/>
    <n v="8.57"/>
    <n v="0"/>
    <n v="0"/>
    <n v="8.57"/>
    <n v="2.88"/>
    <n v="5.69"/>
    <x v="0"/>
    <x v="0"/>
    <s v="Drive-Thru"/>
    <n v="4"/>
  </r>
  <r>
    <s v="ORD500095"/>
    <s v="2024-05-16"/>
    <x v="4"/>
    <s v="ST008"/>
    <x v="3"/>
    <x v="3"/>
    <s v="Seattle"/>
    <s v="Caesar Salad"/>
    <x v="1"/>
    <n v="1"/>
    <n v="8.4700000000000006"/>
    <n v="8.4700000000000006"/>
    <n v="0"/>
    <n v="0"/>
    <n v="8.4700000000000006"/>
    <n v="2.9"/>
    <n v="5.57"/>
    <x v="2"/>
    <x v="2"/>
    <s v="In-Store"/>
    <n v="5"/>
  </r>
  <r>
    <s v="ORD500015"/>
    <s v="2024-05-16"/>
    <x v="4"/>
    <s v="ST027"/>
    <x v="6"/>
    <x v="3"/>
    <s v="Vancouver"/>
    <s v="Club Sandwich"/>
    <x v="1"/>
    <n v="3"/>
    <n v="7.51"/>
    <n v="22.53"/>
    <n v="0"/>
    <n v="0"/>
    <n v="22.53"/>
    <n v="8.0399999999999991"/>
    <n v="14.49"/>
    <x v="1"/>
    <x v="0"/>
    <s v="In-Store"/>
    <n v="4"/>
  </r>
  <r>
    <s v="ORD500059"/>
    <s v="2024-05-19"/>
    <x v="4"/>
    <s v="ST024"/>
    <x v="5"/>
    <x v="0"/>
    <s v="Sydney"/>
    <s v="Latte"/>
    <x v="4"/>
    <n v="1"/>
    <n v="4.67"/>
    <n v="4.67"/>
    <n v="0"/>
    <n v="0"/>
    <n v="4.67"/>
    <n v="1.55"/>
    <n v="3.12"/>
    <x v="0"/>
    <x v="3"/>
    <s v="In-Store"/>
    <n v="4"/>
  </r>
  <r>
    <s v="ORD500409"/>
    <s v="2024-05-22"/>
    <x v="4"/>
    <s v="ST021"/>
    <x v="0"/>
    <x v="0"/>
    <s v="Delhi"/>
    <s v="Whole Bean Coffee 250g"/>
    <x v="2"/>
    <n v="2"/>
    <n v="13.11"/>
    <n v="26.22"/>
    <n v="0.05"/>
    <n v="1.31"/>
    <n v="24.91"/>
    <n v="8.11"/>
    <n v="16.8"/>
    <x v="0"/>
    <x v="2"/>
    <s v="In-Store"/>
    <n v="5"/>
  </r>
  <r>
    <s v="ORD500166"/>
    <s v="2024-05-24"/>
    <x v="4"/>
    <s v="ST007"/>
    <x v="3"/>
    <x v="3"/>
    <s v="Seattle"/>
    <s v="Chocolate Chip Cookie"/>
    <x v="3"/>
    <n v="1"/>
    <n v="2.46"/>
    <n v="2.46"/>
    <n v="0.15"/>
    <n v="0.37"/>
    <n v="2.09"/>
    <n v="0.79"/>
    <n v="1.3"/>
    <x v="0"/>
    <x v="0"/>
    <s v="Mobile App"/>
    <n v="5"/>
  </r>
  <r>
    <s v="ORD500195"/>
    <s v="2024-05-24"/>
    <x v="4"/>
    <s v="ST027"/>
    <x v="6"/>
    <x v="3"/>
    <s v="Vancouver"/>
    <s v="Bagel with Cream Cheese"/>
    <x v="3"/>
    <n v="1"/>
    <n v="3.71"/>
    <n v="3.71"/>
    <n v="0"/>
    <n v="0"/>
    <n v="3.71"/>
    <n v="1.43"/>
    <n v="2.2799999999999998"/>
    <x v="0"/>
    <x v="0"/>
    <s v="Drive-Thru"/>
    <n v="3"/>
  </r>
  <r>
    <s v="ORD500141"/>
    <s v="2024-05-26"/>
    <x v="4"/>
    <s v="ST006"/>
    <x v="3"/>
    <x v="3"/>
    <s v="Houston"/>
    <s v="Bagel with Cream Cheese"/>
    <x v="3"/>
    <n v="1"/>
    <n v="3.72"/>
    <n v="3.72"/>
    <n v="0"/>
    <n v="0"/>
    <n v="3.72"/>
    <n v="1.28"/>
    <n v="2.44"/>
    <x v="2"/>
    <x v="3"/>
    <s v="In-Store"/>
    <n v="5"/>
  </r>
  <r>
    <s v="ORD500087"/>
    <s v="2024-05-26"/>
    <x v="4"/>
    <s v="ST008"/>
    <x v="3"/>
    <x v="3"/>
    <s v="Seattle"/>
    <s v="Ceramic Mug"/>
    <x v="2"/>
    <n v="1"/>
    <n v="9.41"/>
    <n v="9.41"/>
    <n v="0.05"/>
    <n v="0.47"/>
    <n v="8.94"/>
    <n v="3.74"/>
    <n v="5.2"/>
    <x v="2"/>
    <x v="2"/>
    <s v="Mobile App"/>
    <n v="4"/>
  </r>
  <r>
    <s v="ORD500457"/>
    <s v="2024-05-27"/>
    <x v="4"/>
    <s v="ST008"/>
    <x v="3"/>
    <x v="3"/>
    <s v="Seattle"/>
    <s v="Frappe"/>
    <x v="0"/>
    <n v="2"/>
    <n v="5.45"/>
    <n v="10.9"/>
    <n v="0"/>
    <n v="0"/>
    <n v="10.9"/>
    <n v="4.22"/>
    <n v="6.68"/>
    <x v="0"/>
    <x v="0"/>
    <s v="In-Store"/>
    <n v="3"/>
  </r>
  <r>
    <s v="ORD500076"/>
    <s v="2024-05-27"/>
    <x v="4"/>
    <s v="ST022"/>
    <x v="0"/>
    <x v="0"/>
    <s v="Bengaluru"/>
    <s v="Blueberry Muffin"/>
    <x v="3"/>
    <n v="4"/>
    <n v="3.38"/>
    <n v="13.52"/>
    <n v="0"/>
    <n v="0"/>
    <n v="13.52"/>
    <n v="5.08"/>
    <n v="8.44"/>
    <x v="1"/>
    <x v="2"/>
    <s v="In-Store"/>
    <n v="5"/>
  </r>
  <r>
    <s v="ORD500282"/>
    <s v="2024-05-28"/>
    <x v="4"/>
    <s v="ST005"/>
    <x v="3"/>
    <x v="3"/>
    <s v="Chicago"/>
    <s v="Mocha"/>
    <x v="4"/>
    <n v="1"/>
    <n v="4.6399999999999997"/>
    <n v="4.6399999999999997"/>
    <n v="0"/>
    <n v="0"/>
    <n v="4.6399999999999997"/>
    <n v="1.66"/>
    <n v="2.98"/>
    <x v="1"/>
    <x v="2"/>
    <s v="Drive-Thru"/>
    <n v="4"/>
  </r>
  <r>
    <s v="ORD500356"/>
    <s v="2024-05-28"/>
    <x v="4"/>
    <s v="ST019"/>
    <x v="0"/>
    <x v="0"/>
    <s v="Mumbai"/>
    <s v="Ceramic Mug"/>
    <x v="2"/>
    <n v="1"/>
    <n v="8.8000000000000007"/>
    <n v="8.8000000000000007"/>
    <n v="0"/>
    <n v="0"/>
    <n v="8.8000000000000007"/>
    <n v="3.61"/>
    <n v="5.19"/>
    <x v="1"/>
    <x v="0"/>
    <s v="Drive-Thru"/>
    <n v="4"/>
  </r>
  <r>
    <s v="ORD500318"/>
    <s v="2024-06-01"/>
    <x v="5"/>
    <s v="ST015"/>
    <x v="2"/>
    <x v="2"/>
    <s v="Berlin"/>
    <s v="Americano"/>
    <x v="4"/>
    <n v="1"/>
    <n v="3.96"/>
    <n v="3.96"/>
    <n v="0.15"/>
    <n v="0.59"/>
    <n v="3.37"/>
    <n v="1.31"/>
    <n v="2.06"/>
    <x v="0"/>
    <x v="0"/>
    <s v="In-Store"/>
    <n v="5"/>
  </r>
  <r>
    <s v="ORD500231"/>
    <s v="2024-06-02"/>
    <x v="5"/>
    <s v="ST026"/>
    <x v="6"/>
    <x v="3"/>
    <s v="Toronto"/>
    <s v="Blueberry Muffin"/>
    <x v="3"/>
    <n v="1"/>
    <n v="3.26"/>
    <n v="3.26"/>
    <n v="0.05"/>
    <n v="0.16"/>
    <n v="3.1"/>
    <n v="1.05"/>
    <n v="2.0499999999999998"/>
    <x v="1"/>
    <x v="3"/>
    <s v="In-Store"/>
    <n v="5"/>
  </r>
  <r>
    <s v="ORD500324"/>
    <s v="2024-06-02"/>
    <x v="5"/>
    <s v="ST025"/>
    <x v="5"/>
    <x v="0"/>
    <s v="Melbourne"/>
    <s v="Iced Latte"/>
    <x v="0"/>
    <n v="2"/>
    <n v="4.9400000000000004"/>
    <n v="9.8800000000000008"/>
    <n v="0"/>
    <n v="0"/>
    <n v="9.8800000000000008"/>
    <n v="3.5"/>
    <n v="6.38"/>
    <x v="0"/>
    <x v="1"/>
    <s v="Mobile App"/>
    <n v="5"/>
  </r>
  <r>
    <s v="ORD500077"/>
    <s v="2024-06-03"/>
    <x v="5"/>
    <s v="ST007"/>
    <x v="3"/>
    <x v="3"/>
    <s v="Seattle"/>
    <s v="Whole Bean Coffee 250g"/>
    <x v="2"/>
    <n v="2"/>
    <n v="13.11"/>
    <n v="26.22"/>
    <n v="0"/>
    <n v="0"/>
    <n v="26.22"/>
    <n v="9.81"/>
    <n v="16.41"/>
    <x v="1"/>
    <x v="3"/>
    <s v="Mobile App"/>
    <n v="5"/>
  </r>
  <r>
    <s v="ORD500186"/>
    <s v="2024-06-04"/>
    <x v="5"/>
    <s v="ST022"/>
    <x v="0"/>
    <x v="0"/>
    <s v="Bengaluru"/>
    <s v="Frappe"/>
    <x v="0"/>
    <n v="5"/>
    <n v="4.9400000000000004"/>
    <n v="24.7"/>
    <n v="0"/>
    <n v="0"/>
    <n v="24.7"/>
    <n v="9.99"/>
    <n v="14.71"/>
    <x v="0"/>
    <x v="0"/>
    <s v="In-Store"/>
    <n v="5"/>
  </r>
  <r>
    <s v="ORD500302"/>
    <s v="2024-06-05"/>
    <x v="5"/>
    <s v="ST019"/>
    <x v="0"/>
    <x v="0"/>
    <s v="Mumbai"/>
    <s v="Blueberry Muffin"/>
    <x v="3"/>
    <n v="2"/>
    <n v="3.45"/>
    <n v="6.9"/>
    <n v="0"/>
    <n v="0"/>
    <n v="6.9"/>
    <n v="2.62"/>
    <n v="4.28"/>
    <x v="1"/>
    <x v="2"/>
    <s v="Mobile App"/>
    <n v="4"/>
  </r>
  <r>
    <s v="ORD500474"/>
    <s v="2024-06-06"/>
    <x v="5"/>
    <s v="ST009"/>
    <x v="4"/>
    <x v="2"/>
    <s v="London"/>
    <s v="Ceramic Mug"/>
    <x v="2"/>
    <n v="1"/>
    <n v="8.67"/>
    <n v="8.67"/>
    <n v="0"/>
    <n v="0"/>
    <n v="8.67"/>
    <n v="3.63"/>
    <n v="5.04"/>
    <x v="0"/>
    <x v="0"/>
    <s v="In-Store"/>
    <n v="1"/>
  </r>
  <r>
    <s v="ORD500388"/>
    <s v="2024-06-08"/>
    <x v="5"/>
    <s v="ST008"/>
    <x v="3"/>
    <x v="3"/>
    <s v="Seattle"/>
    <s v="Whole Bean Coffee 250g"/>
    <x v="2"/>
    <n v="4"/>
    <n v="12.82"/>
    <n v="51.28"/>
    <n v="0"/>
    <n v="0"/>
    <n v="51.28"/>
    <n v="18.940000000000001"/>
    <n v="32.340000000000003"/>
    <x v="0"/>
    <x v="2"/>
    <s v="Drive-Thru"/>
    <n v="3"/>
  </r>
  <r>
    <s v="ORD500271"/>
    <s v="2024-06-08"/>
    <x v="5"/>
    <s v="ST012"/>
    <x v="4"/>
    <x v="2"/>
    <s v="Manchester"/>
    <s v="Espresso"/>
    <x v="4"/>
    <n v="3"/>
    <n v="3.57"/>
    <n v="10.71"/>
    <n v="0"/>
    <n v="0"/>
    <n v="10.71"/>
    <n v="3.63"/>
    <n v="7.08"/>
    <x v="0"/>
    <x v="2"/>
    <s v="Mobile App"/>
    <n v="4"/>
  </r>
  <r>
    <s v="ORD500352"/>
    <s v="2024-06-10"/>
    <x v="5"/>
    <s v="ST016"/>
    <x v="2"/>
    <x v="2"/>
    <s v="Munich"/>
    <s v="Americano"/>
    <x v="4"/>
    <n v="2"/>
    <n v="3.7"/>
    <n v="7.4"/>
    <n v="0"/>
    <n v="0"/>
    <n v="7.4"/>
    <n v="3.04"/>
    <n v="4.3600000000000003"/>
    <x v="0"/>
    <x v="0"/>
    <s v="In-Store"/>
    <n v="5"/>
  </r>
  <r>
    <s v="ORD500214"/>
    <s v="2024-06-11"/>
    <x v="5"/>
    <s v="ST017"/>
    <x v="2"/>
    <x v="2"/>
    <s v="Munich"/>
    <s v="Cappuccino"/>
    <x v="4"/>
    <n v="2"/>
    <n v="4.32"/>
    <n v="8.64"/>
    <n v="0.1"/>
    <n v="0.86"/>
    <n v="7.78"/>
    <n v="3.16"/>
    <n v="4.62"/>
    <x v="2"/>
    <x v="2"/>
    <s v="Mobile App"/>
    <n v="5"/>
  </r>
  <r>
    <s v="ORD500119"/>
    <s v="2024-06-14"/>
    <x v="5"/>
    <s v="ST014"/>
    <x v="4"/>
    <x v="2"/>
    <s v="Birmingham"/>
    <s v="Iced Latte"/>
    <x v="0"/>
    <n v="1"/>
    <n v="5"/>
    <n v="5"/>
    <n v="0"/>
    <n v="0"/>
    <n v="5"/>
    <n v="1.64"/>
    <n v="3.36"/>
    <x v="0"/>
    <x v="0"/>
    <s v="In-Store"/>
    <n v="4"/>
  </r>
  <r>
    <s v="ORD500168"/>
    <s v="2024-06-14"/>
    <x v="5"/>
    <s v="ST029"/>
    <x v="1"/>
    <x v="1"/>
    <s v="Dubai"/>
    <s v="Mocha"/>
    <x v="4"/>
    <n v="2"/>
    <n v="4.76"/>
    <n v="9.52"/>
    <n v="0"/>
    <n v="0"/>
    <n v="9.52"/>
    <n v="3.27"/>
    <n v="6.25"/>
    <x v="1"/>
    <x v="2"/>
    <s v="In-Store"/>
    <n v="4"/>
  </r>
  <r>
    <s v="ORD500298"/>
    <s v="2024-06-14"/>
    <x v="5"/>
    <s v="ST011"/>
    <x v="4"/>
    <x v="2"/>
    <s v="Manchester"/>
    <s v="Ceramic Mug"/>
    <x v="2"/>
    <n v="1"/>
    <n v="8.65"/>
    <n v="8.65"/>
    <n v="0"/>
    <n v="0"/>
    <n v="8.65"/>
    <n v="3.42"/>
    <n v="5.23"/>
    <x v="1"/>
    <x v="1"/>
    <s v="Drive-Thru"/>
    <n v="3"/>
  </r>
  <r>
    <s v="ORD500343"/>
    <s v="2024-06-15"/>
    <x v="5"/>
    <s v="ST006"/>
    <x v="3"/>
    <x v="3"/>
    <s v="Houston"/>
    <s v="Frappe"/>
    <x v="0"/>
    <n v="1"/>
    <n v="4.96"/>
    <n v="4.96"/>
    <n v="0"/>
    <n v="0"/>
    <n v="4.96"/>
    <n v="1.76"/>
    <n v="3.2"/>
    <x v="1"/>
    <x v="1"/>
    <s v="Mobile App"/>
    <n v="4"/>
  </r>
  <r>
    <s v="ORD500088"/>
    <s v="2024-06-16"/>
    <x v="5"/>
    <s v="ST006"/>
    <x v="3"/>
    <x v="3"/>
    <s v="Houston"/>
    <s v="Whole Bean Coffee 250g"/>
    <x v="2"/>
    <n v="2"/>
    <n v="12.71"/>
    <n v="25.42"/>
    <n v="0"/>
    <n v="0"/>
    <n v="25.42"/>
    <n v="8.94"/>
    <n v="16.48"/>
    <x v="1"/>
    <x v="2"/>
    <s v="Drive-Thru"/>
    <n v="2"/>
  </r>
  <r>
    <s v="ORD500012"/>
    <s v="2024-06-18"/>
    <x v="5"/>
    <s v="ST030"/>
    <x v="1"/>
    <x v="1"/>
    <s v="Abu Dhabi"/>
    <s v="Club Sandwich"/>
    <x v="1"/>
    <n v="1"/>
    <n v="8.19"/>
    <n v="8.19"/>
    <n v="0"/>
    <n v="0"/>
    <n v="8.19"/>
    <n v="3.1"/>
    <n v="5.09"/>
    <x v="2"/>
    <x v="1"/>
    <s v="In-Store"/>
    <n v="1"/>
  </r>
  <r>
    <s v="ORD500387"/>
    <s v="2024-06-19"/>
    <x v="5"/>
    <s v="ST005"/>
    <x v="3"/>
    <x v="3"/>
    <s v="Chicago"/>
    <s v="Tumbler"/>
    <x v="2"/>
    <n v="3"/>
    <n v="15.09"/>
    <n v="45.27"/>
    <n v="0"/>
    <n v="0"/>
    <n v="45.27"/>
    <n v="16.68"/>
    <n v="28.59"/>
    <x v="2"/>
    <x v="0"/>
    <s v="In-Store"/>
    <n v="5"/>
  </r>
  <r>
    <s v="ORD500067"/>
    <s v="2024-06-19"/>
    <x v="5"/>
    <s v="ST022"/>
    <x v="0"/>
    <x v="0"/>
    <s v="Bengaluru"/>
    <s v="Tumbler"/>
    <x v="2"/>
    <n v="1"/>
    <n v="15.55"/>
    <n v="15.55"/>
    <n v="0"/>
    <n v="0"/>
    <n v="15.55"/>
    <n v="5.44"/>
    <n v="10.11"/>
    <x v="0"/>
    <x v="2"/>
    <s v="Mobile App"/>
    <n v="1"/>
  </r>
  <r>
    <s v="ORD500237"/>
    <s v="2024-06-20"/>
    <x v="5"/>
    <s v="ST012"/>
    <x v="4"/>
    <x v="2"/>
    <s v="Manchester"/>
    <s v="Iced Latte"/>
    <x v="0"/>
    <n v="1"/>
    <n v="5.07"/>
    <n v="5.07"/>
    <n v="0"/>
    <n v="0"/>
    <n v="5.07"/>
    <n v="2.0299999999999998"/>
    <n v="3.04"/>
    <x v="2"/>
    <x v="2"/>
    <s v="Mobile App"/>
    <n v="4"/>
  </r>
  <r>
    <s v="ORD500299"/>
    <s v="2024-06-20"/>
    <x v="5"/>
    <s v="ST021"/>
    <x v="0"/>
    <x v="0"/>
    <s v="Delhi"/>
    <s v="Granola Bowl"/>
    <x v="1"/>
    <n v="1"/>
    <n v="7.05"/>
    <n v="7.05"/>
    <n v="0"/>
    <n v="0"/>
    <n v="7.05"/>
    <n v="2.59"/>
    <n v="4.46"/>
    <x v="1"/>
    <x v="3"/>
    <s v="In-Store"/>
    <n v="4"/>
  </r>
  <r>
    <s v="ORD500438"/>
    <s v="2024-06-21"/>
    <x v="5"/>
    <s v="ST016"/>
    <x v="2"/>
    <x v="2"/>
    <s v="Munich"/>
    <s v="Mocha"/>
    <x v="4"/>
    <n v="2"/>
    <n v="4.57"/>
    <n v="9.14"/>
    <n v="0"/>
    <n v="0"/>
    <n v="9.14"/>
    <n v="3.8"/>
    <n v="5.34"/>
    <x v="2"/>
    <x v="3"/>
    <s v="Mobile App"/>
    <n v="4"/>
  </r>
  <r>
    <s v="ORD500031"/>
    <s v="2024-06-24"/>
    <x v="5"/>
    <s v="ST002"/>
    <x v="3"/>
    <x v="3"/>
    <s v="New York"/>
    <s v="Ceramic Mug"/>
    <x v="2"/>
    <n v="1"/>
    <n v="9.0399999999999991"/>
    <n v="9.0399999999999991"/>
    <n v="0.15"/>
    <n v="1.36"/>
    <n v="7.68"/>
    <n v="3.06"/>
    <n v="4.62"/>
    <x v="0"/>
    <x v="2"/>
    <s v="Drive-Thru"/>
    <n v="5"/>
  </r>
  <r>
    <s v="ORD500414"/>
    <s v="2024-06-25"/>
    <x v="5"/>
    <s v="ST003"/>
    <x v="3"/>
    <x v="3"/>
    <s v="Los Angeles"/>
    <s v="Americano"/>
    <x v="4"/>
    <n v="3"/>
    <n v="3.64"/>
    <n v="10.92"/>
    <n v="0"/>
    <n v="0"/>
    <n v="10.92"/>
    <n v="3.57"/>
    <n v="7.35"/>
    <x v="1"/>
    <x v="3"/>
    <s v="In-Store"/>
    <n v="4"/>
  </r>
  <r>
    <s v="ORD500347"/>
    <s v="2024-06-25"/>
    <x v="5"/>
    <s v="ST008"/>
    <x v="3"/>
    <x v="3"/>
    <s v="Seattle"/>
    <s v="Tumbler"/>
    <x v="2"/>
    <n v="2"/>
    <n v="15.16"/>
    <n v="30.32"/>
    <n v="0.15"/>
    <n v="4.55"/>
    <n v="25.77"/>
    <n v="10.57"/>
    <n v="15.2"/>
    <x v="0"/>
    <x v="1"/>
    <s v="Drive-Thru"/>
    <n v="5"/>
  </r>
  <r>
    <s v="ORD500327"/>
    <s v="2024-06-25"/>
    <x v="5"/>
    <s v="ST018"/>
    <x v="2"/>
    <x v="2"/>
    <s v="Hamburg"/>
    <s v="Whole Bean Coffee 250g"/>
    <x v="2"/>
    <n v="1"/>
    <n v="12.43"/>
    <n v="12.43"/>
    <n v="0"/>
    <n v="0"/>
    <n v="12.43"/>
    <n v="4.57"/>
    <n v="7.86"/>
    <x v="0"/>
    <x v="1"/>
    <s v="In-Store"/>
    <n v="5"/>
  </r>
  <r>
    <s v="ORD500028"/>
    <s v="2024-07-01"/>
    <x v="6"/>
    <s v="ST016"/>
    <x v="2"/>
    <x v="2"/>
    <s v="Munich"/>
    <s v="Espresso"/>
    <x v="4"/>
    <n v="2"/>
    <n v="3.46"/>
    <n v="6.92"/>
    <n v="0"/>
    <n v="0"/>
    <n v="6.92"/>
    <n v="2.77"/>
    <n v="4.1500000000000004"/>
    <x v="2"/>
    <x v="0"/>
    <s v="Mobile App"/>
    <n v="5"/>
  </r>
  <r>
    <s v="ORD500400"/>
    <s v="2024-07-02"/>
    <x v="6"/>
    <s v="ST024"/>
    <x v="5"/>
    <x v="0"/>
    <s v="Sydney"/>
    <s v="Croissant"/>
    <x v="3"/>
    <n v="4"/>
    <n v="3.29"/>
    <n v="13.16"/>
    <n v="0.05"/>
    <n v="0.66"/>
    <n v="12.5"/>
    <n v="4.34"/>
    <n v="8.16"/>
    <x v="1"/>
    <x v="0"/>
    <s v="In-Store"/>
    <n v="5"/>
  </r>
  <r>
    <s v="ORD500418"/>
    <s v="2024-07-02"/>
    <x v="6"/>
    <s v="ST005"/>
    <x v="3"/>
    <x v="3"/>
    <s v="Chicago"/>
    <s v="Americano"/>
    <x v="4"/>
    <n v="1"/>
    <n v="3.88"/>
    <n v="3.88"/>
    <n v="0"/>
    <n v="0"/>
    <n v="3.88"/>
    <n v="1.3"/>
    <n v="2.58"/>
    <x v="0"/>
    <x v="2"/>
    <s v="In-Store"/>
    <n v="4"/>
  </r>
  <r>
    <s v="ORD500179"/>
    <s v="2024-07-03"/>
    <x v="6"/>
    <s v="ST010"/>
    <x v="4"/>
    <x v="2"/>
    <s v="London"/>
    <s v="Caesar Salad"/>
    <x v="1"/>
    <n v="1"/>
    <n v="8.19"/>
    <n v="8.19"/>
    <n v="0"/>
    <n v="0"/>
    <n v="8.19"/>
    <n v="2.83"/>
    <n v="5.36"/>
    <x v="2"/>
    <x v="0"/>
    <s v="Mobile App"/>
    <n v="5"/>
  </r>
  <r>
    <s v="ORD500006"/>
    <s v="2024-07-03"/>
    <x v="6"/>
    <s v="ST002"/>
    <x v="3"/>
    <x v="3"/>
    <s v="New York"/>
    <s v="Granola Bowl"/>
    <x v="1"/>
    <n v="5"/>
    <n v="7.21"/>
    <n v="36.049999999999997"/>
    <n v="0"/>
    <n v="0"/>
    <n v="36.049999999999997"/>
    <n v="13.68"/>
    <n v="22.37"/>
    <x v="1"/>
    <x v="1"/>
    <s v="Drive-Thru"/>
    <n v="5"/>
  </r>
  <r>
    <s v="ORD500380"/>
    <s v="2024-07-04"/>
    <x v="6"/>
    <s v="ST019"/>
    <x v="0"/>
    <x v="0"/>
    <s v="Mumbai"/>
    <s v="Club Sandwich"/>
    <x v="1"/>
    <n v="1"/>
    <n v="7.68"/>
    <n v="7.68"/>
    <n v="0.05"/>
    <n v="0.38"/>
    <n v="7.3"/>
    <n v="2.86"/>
    <n v="4.4400000000000004"/>
    <x v="1"/>
    <x v="2"/>
    <s v="Mobile App"/>
    <n v="4"/>
  </r>
  <r>
    <s v="ORD500483"/>
    <s v="2024-07-04"/>
    <x v="6"/>
    <s v="ST013"/>
    <x v="4"/>
    <x v="2"/>
    <s v="Birmingham"/>
    <s v="Avocado Toast"/>
    <x v="1"/>
    <n v="2"/>
    <n v="6.27"/>
    <n v="12.54"/>
    <n v="0"/>
    <n v="0"/>
    <n v="12.54"/>
    <n v="4.59"/>
    <n v="7.95"/>
    <x v="1"/>
    <x v="0"/>
    <s v="Mobile App"/>
    <n v="5"/>
  </r>
  <r>
    <s v="ORD500090"/>
    <s v="2024-07-05"/>
    <x v="6"/>
    <s v="ST019"/>
    <x v="0"/>
    <x v="0"/>
    <s v="Mumbai"/>
    <s v="Caesar Salad"/>
    <x v="1"/>
    <n v="1"/>
    <n v="7.99"/>
    <n v="7.99"/>
    <n v="0"/>
    <n v="0"/>
    <n v="7.99"/>
    <n v="3.01"/>
    <n v="4.9800000000000004"/>
    <x v="1"/>
    <x v="0"/>
    <s v="In-Store"/>
    <n v="1"/>
  </r>
  <r>
    <s v="ORD500209"/>
    <s v="2024-07-09"/>
    <x v="6"/>
    <s v="ST026"/>
    <x v="6"/>
    <x v="3"/>
    <s v="Toronto"/>
    <s v="Espresso"/>
    <x v="4"/>
    <n v="1"/>
    <n v="3.44"/>
    <n v="3.44"/>
    <n v="0"/>
    <n v="0"/>
    <n v="3.44"/>
    <n v="1.29"/>
    <n v="2.15"/>
    <x v="0"/>
    <x v="2"/>
    <s v="Mobile App"/>
    <n v="5"/>
  </r>
  <r>
    <s v="ORD500408"/>
    <s v="2024-07-10"/>
    <x v="6"/>
    <s v="ST008"/>
    <x v="3"/>
    <x v="3"/>
    <s v="Seattle"/>
    <s v="Avocado Toast"/>
    <x v="1"/>
    <n v="2"/>
    <n v="6.22"/>
    <n v="12.44"/>
    <n v="0"/>
    <n v="0"/>
    <n v="12.44"/>
    <n v="4.88"/>
    <n v="7.56"/>
    <x v="1"/>
    <x v="2"/>
    <s v="In-Store"/>
    <n v="4"/>
  </r>
  <r>
    <s v="ORD500202"/>
    <s v="2024-07-11"/>
    <x v="6"/>
    <s v="ST023"/>
    <x v="0"/>
    <x v="0"/>
    <s v="Bengaluru"/>
    <s v="Iced Tea"/>
    <x v="0"/>
    <n v="1"/>
    <n v="4.04"/>
    <n v="4.04"/>
    <n v="0.15"/>
    <n v="0.61"/>
    <n v="3.43"/>
    <n v="1.21"/>
    <n v="2.2200000000000002"/>
    <x v="1"/>
    <x v="0"/>
    <s v="Mobile App"/>
    <n v="4"/>
  </r>
  <r>
    <s v="ORD500495"/>
    <s v="2024-07-13"/>
    <x v="6"/>
    <s v="ST021"/>
    <x v="0"/>
    <x v="0"/>
    <s v="Delhi"/>
    <s v="Avocado Toast"/>
    <x v="1"/>
    <n v="2"/>
    <n v="6.29"/>
    <n v="12.58"/>
    <n v="0.1"/>
    <n v="1.26"/>
    <n v="11.32"/>
    <n v="3.77"/>
    <n v="7.55"/>
    <x v="0"/>
    <x v="0"/>
    <s v="In-Store"/>
    <n v="5"/>
  </r>
  <r>
    <s v="ORD500220"/>
    <s v="2024-07-14"/>
    <x v="6"/>
    <s v="ST002"/>
    <x v="3"/>
    <x v="3"/>
    <s v="New York"/>
    <s v="Blueberry Muffin"/>
    <x v="3"/>
    <n v="1"/>
    <n v="3.3"/>
    <n v="3.3"/>
    <n v="0"/>
    <n v="0"/>
    <n v="3.3"/>
    <n v="1.1100000000000001"/>
    <n v="2.19"/>
    <x v="0"/>
    <x v="0"/>
    <s v="Mobile App"/>
    <n v="3"/>
  </r>
  <r>
    <s v="ORD500060"/>
    <s v="2024-07-15"/>
    <x v="6"/>
    <s v="ST024"/>
    <x v="5"/>
    <x v="0"/>
    <s v="Sydney"/>
    <s v="Chocolate Chip Cookie"/>
    <x v="3"/>
    <n v="1"/>
    <n v="2.4300000000000002"/>
    <n v="2.4300000000000002"/>
    <n v="0"/>
    <n v="0"/>
    <n v="2.4300000000000002"/>
    <n v="0.81"/>
    <n v="1.62"/>
    <x v="1"/>
    <x v="2"/>
    <s v="In-Store"/>
    <n v="5"/>
  </r>
  <r>
    <s v="ORD500187"/>
    <s v="2024-07-18"/>
    <x v="6"/>
    <s v="ST013"/>
    <x v="4"/>
    <x v="2"/>
    <s v="Birmingham"/>
    <s v="Cold Brew"/>
    <x v="0"/>
    <n v="2"/>
    <n v="4.83"/>
    <n v="9.66"/>
    <n v="0.05"/>
    <n v="0.48"/>
    <n v="9.18"/>
    <n v="2.94"/>
    <n v="6.24"/>
    <x v="0"/>
    <x v="0"/>
    <s v="Mobile App"/>
    <n v="5"/>
  </r>
  <r>
    <s v="ORD500286"/>
    <s v="2024-07-19"/>
    <x v="6"/>
    <s v="ST009"/>
    <x v="4"/>
    <x v="2"/>
    <s v="London"/>
    <s v="Blueberry Muffin"/>
    <x v="3"/>
    <n v="1"/>
    <n v="3.28"/>
    <n v="3.28"/>
    <n v="0"/>
    <n v="0"/>
    <n v="3.28"/>
    <n v="1.25"/>
    <n v="2.0299999999999998"/>
    <x v="2"/>
    <x v="0"/>
    <s v="In-Store"/>
    <n v="5"/>
  </r>
  <r>
    <s v="ORD500284"/>
    <s v="2024-07-19"/>
    <x v="6"/>
    <s v="ST006"/>
    <x v="3"/>
    <x v="3"/>
    <s v="Houston"/>
    <s v="Bagel with Cream Cheese"/>
    <x v="3"/>
    <n v="5"/>
    <n v="3.59"/>
    <n v="17.95"/>
    <n v="0.05"/>
    <n v="0.9"/>
    <n v="17.05"/>
    <n v="6.26"/>
    <n v="10.79"/>
    <x v="1"/>
    <x v="2"/>
    <s v="Mobile App"/>
    <n v="5"/>
  </r>
  <r>
    <s v="ORD500075"/>
    <s v="2024-07-21"/>
    <x v="6"/>
    <s v="ST027"/>
    <x v="6"/>
    <x v="3"/>
    <s v="Vancouver"/>
    <s v="Granola Bowl"/>
    <x v="1"/>
    <n v="2"/>
    <n v="7"/>
    <n v="14"/>
    <n v="0"/>
    <n v="0"/>
    <n v="14"/>
    <n v="5.49"/>
    <n v="8.51"/>
    <x v="0"/>
    <x v="0"/>
    <s v="In-Store"/>
    <n v="3"/>
  </r>
  <r>
    <s v="ORD500132"/>
    <s v="2024-07-22"/>
    <x v="6"/>
    <s v="ST030"/>
    <x v="1"/>
    <x v="1"/>
    <s v="Abu Dhabi"/>
    <s v="Avocado Toast"/>
    <x v="1"/>
    <n v="1"/>
    <n v="6.36"/>
    <n v="6.36"/>
    <n v="0"/>
    <n v="0"/>
    <n v="6.36"/>
    <n v="2.5"/>
    <n v="3.86"/>
    <x v="2"/>
    <x v="1"/>
    <s v="In-Store"/>
    <n v="4"/>
  </r>
  <r>
    <s v="ORD500081"/>
    <s v="2024-07-22"/>
    <x v="6"/>
    <s v="ST019"/>
    <x v="0"/>
    <x v="0"/>
    <s v="Mumbai"/>
    <s v="Avocado Toast"/>
    <x v="1"/>
    <n v="1"/>
    <n v="6.62"/>
    <n v="6.62"/>
    <n v="0"/>
    <n v="0"/>
    <n v="6.62"/>
    <n v="2.2200000000000002"/>
    <n v="4.4000000000000004"/>
    <x v="1"/>
    <x v="2"/>
    <s v="Drive-Thru"/>
    <n v="4"/>
  </r>
  <r>
    <s v="ORD500004"/>
    <s v="2024-07-27"/>
    <x v="6"/>
    <s v="ST012"/>
    <x v="4"/>
    <x v="2"/>
    <s v="Manchester"/>
    <s v="Latte"/>
    <x v="4"/>
    <n v="1"/>
    <n v="4.34"/>
    <n v="4.34"/>
    <n v="0"/>
    <n v="0"/>
    <n v="4.34"/>
    <n v="1.65"/>
    <n v="2.69"/>
    <x v="2"/>
    <x v="1"/>
    <s v="In-Store"/>
    <n v="3"/>
  </r>
  <r>
    <s v="ORD500403"/>
    <s v="2024-07-28"/>
    <x v="6"/>
    <s v="ST014"/>
    <x v="4"/>
    <x v="2"/>
    <s v="Birmingham"/>
    <s v="Tumbler"/>
    <x v="2"/>
    <n v="3"/>
    <n v="14.82"/>
    <n v="44.46"/>
    <n v="0"/>
    <n v="0"/>
    <n v="44.46"/>
    <n v="14.31"/>
    <n v="30.15"/>
    <x v="1"/>
    <x v="3"/>
    <s v="In-Store"/>
    <n v="3"/>
  </r>
  <r>
    <s v="ORD500471"/>
    <s v="2024-07-30"/>
    <x v="6"/>
    <s v="ST010"/>
    <x v="4"/>
    <x v="2"/>
    <s v="London"/>
    <s v="Granola Bowl"/>
    <x v="1"/>
    <n v="3"/>
    <n v="6.99"/>
    <n v="20.97"/>
    <n v="0.15"/>
    <n v="3.15"/>
    <n v="17.82"/>
    <n v="5.89"/>
    <n v="11.93"/>
    <x v="1"/>
    <x v="2"/>
    <s v="Mobile App"/>
    <n v="4"/>
  </r>
  <r>
    <s v="ORD500196"/>
    <s v="2024-08-01"/>
    <x v="7"/>
    <s v="ST028"/>
    <x v="1"/>
    <x v="1"/>
    <s v="Dubai"/>
    <s v="Mocha"/>
    <x v="4"/>
    <n v="1"/>
    <n v="4.82"/>
    <n v="4.82"/>
    <n v="0.05"/>
    <n v="0.24"/>
    <n v="4.58"/>
    <n v="1.57"/>
    <n v="3.01"/>
    <x v="2"/>
    <x v="1"/>
    <s v="In-Store"/>
    <n v="3"/>
  </r>
  <r>
    <s v="ORD500370"/>
    <s v="2024-08-04"/>
    <x v="7"/>
    <s v="ST022"/>
    <x v="0"/>
    <x v="0"/>
    <s v="Bengaluru"/>
    <s v="Mocha"/>
    <x v="4"/>
    <n v="1"/>
    <n v="4.8099999999999996"/>
    <n v="4.8099999999999996"/>
    <n v="0"/>
    <n v="0"/>
    <n v="4.8099999999999996"/>
    <n v="2.0099999999999998"/>
    <n v="2.8"/>
    <x v="0"/>
    <x v="3"/>
    <s v="In-Store"/>
    <n v="4"/>
  </r>
  <r>
    <s v="ORD500173"/>
    <s v="2024-08-05"/>
    <x v="7"/>
    <s v="ST024"/>
    <x v="5"/>
    <x v="0"/>
    <s v="Sydney"/>
    <s v="Granola Bowl"/>
    <x v="1"/>
    <n v="1"/>
    <n v="6.74"/>
    <n v="6.74"/>
    <n v="0"/>
    <n v="0"/>
    <n v="6.74"/>
    <n v="2.29"/>
    <n v="4.45"/>
    <x v="1"/>
    <x v="3"/>
    <s v="In-Store"/>
    <n v="4"/>
  </r>
  <r>
    <s v="ORD500019"/>
    <s v="2024-08-06"/>
    <x v="7"/>
    <s v="ST005"/>
    <x v="3"/>
    <x v="3"/>
    <s v="Chicago"/>
    <s v="Whole Bean Coffee 250g"/>
    <x v="2"/>
    <n v="4"/>
    <n v="12.04"/>
    <n v="48.16"/>
    <n v="0.05"/>
    <n v="2.41"/>
    <n v="45.75"/>
    <n v="18.57"/>
    <n v="27.18"/>
    <x v="1"/>
    <x v="2"/>
    <s v="Mobile App"/>
    <n v="4"/>
  </r>
  <r>
    <s v="ORD500207"/>
    <s v="2024-08-06"/>
    <x v="7"/>
    <s v="ST018"/>
    <x v="2"/>
    <x v="2"/>
    <s v="Hamburg"/>
    <s v="Blueberry Muffin"/>
    <x v="3"/>
    <n v="1"/>
    <n v="3.32"/>
    <n v="3.32"/>
    <n v="0"/>
    <n v="0"/>
    <n v="3.32"/>
    <n v="1.37"/>
    <n v="1.95"/>
    <x v="0"/>
    <x v="2"/>
    <s v="In-Store"/>
    <n v="3"/>
  </r>
  <r>
    <s v="ORD500178"/>
    <s v="2024-08-12"/>
    <x v="7"/>
    <s v="ST003"/>
    <x v="3"/>
    <x v="3"/>
    <s v="Los Angeles"/>
    <s v="Mocha"/>
    <x v="4"/>
    <n v="2"/>
    <n v="4.93"/>
    <n v="9.86"/>
    <n v="0"/>
    <n v="0"/>
    <n v="9.86"/>
    <n v="3.23"/>
    <n v="6.63"/>
    <x v="2"/>
    <x v="0"/>
    <s v="Drive-Thru"/>
    <n v="5"/>
  </r>
  <r>
    <s v="ORD500046"/>
    <s v="2024-08-12"/>
    <x v="7"/>
    <s v="ST030"/>
    <x v="1"/>
    <x v="1"/>
    <s v="Abu Dhabi"/>
    <s v="Chocolate Chip Cookie"/>
    <x v="3"/>
    <n v="1"/>
    <n v="2.62"/>
    <n v="2.62"/>
    <n v="0"/>
    <n v="0"/>
    <n v="2.62"/>
    <n v="1.1000000000000001"/>
    <n v="1.52"/>
    <x v="1"/>
    <x v="1"/>
    <s v="In-Store"/>
    <n v="3"/>
  </r>
  <r>
    <s v="ORD500150"/>
    <s v="2024-08-12"/>
    <x v="7"/>
    <s v="ST024"/>
    <x v="5"/>
    <x v="0"/>
    <s v="Sydney"/>
    <s v="Croissant"/>
    <x v="3"/>
    <n v="2"/>
    <n v="3.19"/>
    <n v="6.38"/>
    <n v="0"/>
    <n v="0"/>
    <n v="6.38"/>
    <n v="2.59"/>
    <n v="3.79"/>
    <x v="0"/>
    <x v="3"/>
    <s v="In-Store"/>
    <n v="4"/>
  </r>
  <r>
    <s v="ORD500003"/>
    <s v="2024-08-13"/>
    <x v="7"/>
    <s v="ST018"/>
    <x v="2"/>
    <x v="2"/>
    <s v="Hamburg"/>
    <s v="Croissant"/>
    <x v="3"/>
    <n v="3"/>
    <n v="3.31"/>
    <n v="9.93"/>
    <n v="0"/>
    <n v="0"/>
    <n v="9.93"/>
    <n v="3.71"/>
    <n v="6.22"/>
    <x v="0"/>
    <x v="1"/>
    <s v="In-Store"/>
    <n v="4"/>
  </r>
  <r>
    <s v="ORD500008"/>
    <s v="2024-08-14"/>
    <x v="7"/>
    <s v="ST022"/>
    <x v="0"/>
    <x v="0"/>
    <s v="Bengaluru"/>
    <s v="Avocado Toast"/>
    <x v="1"/>
    <n v="2"/>
    <n v="6.54"/>
    <n v="13.08"/>
    <n v="0"/>
    <n v="0"/>
    <n v="13.08"/>
    <n v="5.09"/>
    <n v="7.99"/>
    <x v="1"/>
    <x v="0"/>
    <s v="Mobile App"/>
    <n v="4"/>
  </r>
  <r>
    <s v="ORD500217"/>
    <s v="2024-08-15"/>
    <x v="7"/>
    <s v="ST022"/>
    <x v="0"/>
    <x v="0"/>
    <s v="Bengaluru"/>
    <s v="Avocado Toast"/>
    <x v="1"/>
    <n v="2"/>
    <n v="6.28"/>
    <n v="12.56"/>
    <n v="0"/>
    <n v="0"/>
    <n v="12.56"/>
    <n v="4.21"/>
    <n v="8.35"/>
    <x v="0"/>
    <x v="0"/>
    <s v="Mobile App"/>
    <n v="4"/>
  </r>
  <r>
    <s v="ORD500257"/>
    <s v="2024-08-18"/>
    <x v="7"/>
    <s v="ST021"/>
    <x v="0"/>
    <x v="0"/>
    <s v="Delhi"/>
    <s v="Chocolate Chip Cookie"/>
    <x v="3"/>
    <n v="1"/>
    <n v="2.57"/>
    <n v="2.57"/>
    <n v="0"/>
    <n v="0"/>
    <n v="2.57"/>
    <n v="0.83"/>
    <n v="1.74"/>
    <x v="0"/>
    <x v="2"/>
    <s v="Mobile App"/>
    <n v="4"/>
  </r>
  <r>
    <s v="ORD500176"/>
    <s v="2024-08-19"/>
    <x v="7"/>
    <s v="ST022"/>
    <x v="0"/>
    <x v="0"/>
    <s v="Bengaluru"/>
    <s v="Latte"/>
    <x v="4"/>
    <n v="1"/>
    <n v="4.3099999999999996"/>
    <n v="4.3099999999999996"/>
    <n v="0.05"/>
    <n v="0.22"/>
    <n v="4.09"/>
    <n v="1.56"/>
    <n v="2.5299999999999998"/>
    <x v="0"/>
    <x v="2"/>
    <s v="In-Store"/>
    <n v="3"/>
  </r>
  <r>
    <s v="ORD500431"/>
    <s v="2024-08-21"/>
    <x v="7"/>
    <s v="ST021"/>
    <x v="0"/>
    <x v="0"/>
    <s v="Delhi"/>
    <s v="Mocha"/>
    <x v="4"/>
    <n v="3"/>
    <n v="4.75"/>
    <n v="14.25"/>
    <n v="0.1"/>
    <n v="1.42"/>
    <n v="12.83"/>
    <n v="4.24"/>
    <n v="8.59"/>
    <x v="1"/>
    <x v="0"/>
    <s v="Mobile App"/>
    <n v="5"/>
  </r>
  <r>
    <s v="ORD500252"/>
    <s v="2024-08-21"/>
    <x v="7"/>
    <s v="ST029"/>
    <x v="1"/>
    <x v="1"/>
    <s v="Dubai"/>
    <s v="Blueberry Muffin"/>
    <x v="3"/>
    <n v="3"/>
    <n v="3.53"/>
    <n v="10.59"/>
    <n v="0"/>
    <n v="0"/>
    <n v="10.59"/>
    <n v="4.2300000000000004"/>
    <n v="6.36"/>
    <x v="2"/>
    <x v="2"/>
    <s v="Mobile App"/>
    <n v="4"/>
  </r>
  <r>
    <s v="ORD500427"/>
    <s v="2024-08-22"/>
    <x v="7"/>
    <s v="ST007"/>
    <x v="3"/>
    <x v="3"/>
    <s v="Seattle"/>
    <s v="Blueberry Muffin"/>
    <x v="3"/>
    <n v="1"/>
    <n v="3.45"/>
    <n v="3.45"/>
    <n v="0"/>
    <n v="0"/>
    <n v="3.45"/>
    <n v="1.33"/>
    <n v="2.12"/>
    <x v="1"/>
    <x v="0"/>
    <s v="Mobile App"/>
    <n v="5"/>
  </r>
  <r>
    <s v="ORD500212"/>
    <s v="2024-08-24"/>
    <x v="7"/>
    <s v="ST019"/>
    <x v="0"/>
    <x v="0"/>
    <s v="Mumbai"/>
    <s v="Americano"/>
    <x v="4"/>
    <n v="5"/>
    <n v="3.67"/>
    <n v="18.350000000000001"/>
    <n v="0"/>
    <n v="0"/>
    <n v="18.350000000000001"/>
    <n v="6.93"/>
    <n v="11.42"/>
    <x v="1"/>
    <x v="3"/>
    <s v="Mobile App"/>
    <n v="5"/>
  </r>
  <r>
    <s v="ORD500429"/>
    <s v="2024-08-24"/>
    <x v="7"/>
    <s v="ST015"/>
    <x v="2"/>
    <x v="2"/>
    <s v="Berlin"/>
    <s v="Americano"/>
    <x v="4"/>
    <n v="2"/>
    <n v="3.88"/>
    <n v="7.76"/>
    <n v="0"/>
    <n v="0"/>
    <n v="7.76"/>
    <n v="3.14"/>
    <n v="4.62"/>
    <x v="0"/>
    <x v="0"/>
    <s v="In-Store"/>
    <n v="5"/>
  </r>
  <r>
    <s v="ORD500011"/>
    <s v="2024-08-28"/>
    <x v="7"/>
    <s v="ST019"/>
    <x v="0"/>
    <x v="0"/>
    <s v="Mumbai"/>
    <s v="Granola Bowl"/>
    <x v="1"/>
    <n v="4"/>
    <n v="6.76"/>
    <n v="27.04"/>
    <n v="0"/>
    <n v="0"/>
    <n v="27.04"/>
    <n v="9.85"/>
    <n v="17.190000000000001"/>
    <x v="1"/>
    <x v="1"/>
    <s v="In-Store"/>
    <n v="5"/>
  </r>
  <r>
    <s v="ORD500292"/>
    <s v="2024-08-29"/>
    <x v="7"/>
    <s v="ST014"/>
    <x v="4"/>
    <x v="2"/>
    <s v="Birmingham"/>
    <s v="Tumbler"/>
    <x v="2"/>
    <n v="5"/>
    <n v="14.66"/>
    <n v="73.3"/>
    <n v="0"/>
    <n v="0"/>
    <n v="73.3"/>
    <n v="26.33"/>
    <n v="46.97"/>
    <x v="1"/>
    <x v="0"/>
    <s v="Drive-Thru"/>
    <n v="3"/>
  </r>
  <r>
    <s v="ORD500258"/>
    <s v="2024-08-30"/>
    <x v="7"/>
    <s v="ST001"/>
    <x v="3"/>
    <x v="3"/>
    <s v="New York"/>
    <s v="Club Sandwich"/>
    <x v="1"/>
    <n v="2"/>
    <n v="7.49"/>
    <n v="14.98"/>
    <n v="0"/>
    <n v="0"/>
    <n v="14.98"/>
    <n v="5.15"/>
    <n v="9.83"/>
    <x v="1"/>
    <x v="2"/>
    <s v="Mobile App"/>
    <n v="5"/>
  </r>
  <r>
    <s v="ORD500379"/>
    <s v="2024-08-31"/>
    <x v="7"/>
    <s v="ST009"/>
    <x v="4"/>
    <x v="2"/>
    <s v="London"/>
    <s v="Mocha"/>
    <x v="4"/>
    <n v="1"/>
    <n v="4.63"/>
    <n v="4.63"/>
    <n v="0"/>
    <n v="0"/>
    <n v="4.63"/>
    <n v="1.77"/>
    <n v="2.86"/>
    <x v="2"/>
    <x v="3"/>
    <s v="Mobile App"/>
    <n v="3"/>
  </r>
  <r>
    <s v="ORD500412"/>
    <s v="2024-09-01"/>
    <x v="8"/>
    <s v="ST011"/>
    <x v="4"/>
    <x v="2"/>
    <s v="Manchester"/>
    <s v="Ceramic Mug"/>
    <x v="2"/>
    <n v="1"/>
    <n v="9.44"/>
    <n v="9.44"/>
    <n v="0"/>
    <n v="0"/>
    <n v="9.44"/>
    <n v="3.07"/>
    <n v="6.37"/>
    <x v="1"/>
    <x v="2"/>
    <s v="Mobile App"/>
    <n v="5"/>
  </r>
  <r>
    <s v="ORD500203"/>
    <s v="2024-09-05"/>
    <x v="8"/>
    <s v="ST021"/>
    <x v="0"/>
    <x v="0"/>
    <s v="Delhi"/>
    <s v="Latte"/>
    <x v="4"/>
    <n v="4"/>
    <n v="4.53"/>
    <n v="18.12"/>
    <n v="0.1"/>
    <n v="1.81"/>
    <n v="16.309999999999999"/>
    <n v="6.24"/>
    <n v="10.07"/>
    <x v="1"/>
    <x v="0"/>
    <s v="Mobile App"/>
    <n v="5"/>
  </r>
  <r>
    <s v="ORD500093"/>
    <s v="2024-09-05"/>
    <x v="8"/>
    <s v="ST028"/>
    <x v="1"/>
    <x v="1"/>
    <s v="Dubai"/>
    <s v="Iced Tea"/>
    <x v="0"/>
    <n v="1"/>
    <n v="3.8"/>
    <n v="3.8"/>
    <n v="0"/>
    <n v="0"/>
    <n v="3.8"/>
    <n v="1.57"/>
    <n v="2.23"/>
    <x v="2"/>
    <x v="0"/>
    <s v="In-Store"/>
    <n v="5"/>
  </r>
  <r>
    <s v="ORD500322"/>
    <s v="2024-09-06"/>
    <x v="8"/>
    <s v="ST021"/>
    <x v="0"/>
    <x v="0"/>
    <s v="Delhi"/>
    <s v="Iced Tea"/>
    <x v="0"/>
    <n v="1"/>
    <n v="3.75"/>
    <n v="3.75"/>
    <n v="0"/>
    <n v="0"/>
    <n v="3.75"/>
    <n v="1.48"/>
    <n v="2.27"/>
    <x v="2"/>
    <x v="0"/>
    <s v="Mobile App"/>
    <n v="4"/>
  </r>
  <r>
    <s v="ORD500146"/>
    <s v="2024-09-06"/>
    <x v="8"/>
    <s v="ST028"/>
    <x v="1"/>
    <x v="1"/>
    <s v="Dubai"/>
    <s v="Granola Bowl"/>
    <x v="1"/>
    <n v="1"/>
    <n v="7.18"/>
    <n v="7.18"/>
    <n v="0.05"/>
    <n v="0.36"/>
    <n v="6.82"/>
    <n v="2.52"/>
    <n v="4.3"/>
    <x v="1"/>
    <x v="0"/>
    <s v="In-Store"/>
    <n v="5"/>
  </r>
  <r>
    <s v="ORD500464"/>
    <s v="2024-09-15"/>
    <x v="8"/>
    <s v="ST023"/>
    <x v="0"/>
    <x v="0"/>
    <s v="Bengaluru"/>
    <s v="Iced Tea"/>
    <x v="0"/>
    <n v="1"/>
    <n v="3.89"/>
    <n v="3.89"/>
    <n v="0"/>
    <n v="0"/>
    <n v="3.89"/>
    <n v="1.6"/>
    <n v="2.29"/>
    <x v="1"/>
    <x v="2"/>
    <s v="Mobile App"/>
    <n v="1"/>
  </r>
  <r>
    <s v="ORD500433"/>
    <s v="2024-09-15"/>
    <x v="8"/>
    <s v="ST030"/>
    <x v="1"/>
    <x v="1"/>
    <s v="Abu Dhabi"/>
    <s v="Granola Bowl"/>
    <x v="1"/>
    <n v="2"/>
    <n v="6.57"/>
    <n v="13.14"/>
    <n v="0"/>
    <n v="0"/>
    <n v="13.14"/>
    <n v="4.96"/>
    <n v="8.18"/>
    <x v="2"/>
    <x v="1"/>
    <s v="Drive-Thru"/>
    <n v="3"/>
  </r>
  <r>
    <s v="ORD500287"/>
    <s v="2024-09-15"/>
    <x v="8"/>
    <s v="ST005"/>
    <x v="3"/>
    <x v="3"/>
    <s v="Chicago"/>
    <s v="Mocha"/>
    <x v="4"/>
    <n v="1"/>
    <n v="4.67"/>
    <n v="4.67"/>
    <n v="0"/>
    <n v="0"/>
    <n v="4.67"/>
    <n v="1.84"/>
    <n v="2.83"/>
    <x v="0"/>
    <x v="1"/>
    <s v="In-Store"/>
    <n v="5"/>
  </r>
  <r>
    <s v="ORD500339"/>
    <s v="2024-09-16"/>
    <x v="8"/>
    <s v="ST007"/>
    <x v="3"/>
    <x v="3"/>
    <s v="Seattle"/>
    <s v="Tumbler"/>
    <x v="2"/>
    <n v="1"/>
    <n v="15.58"/>
    <n v="15.58"/>
    <n v="0"/>
    <n v="0"/>
    <n v="15.58"/>
    <n v="5.15"/>
    <n v="10.43"/>
    <x v="1"/>
    <x v="0"/>
    <s v="Mobile App"/>
    <n v="3"/>
  </r>
  <r>
    <s v="ORD500393"/>
    <s v="2024-09-16"/>
    <x v="8"/>
    <s v="ST002"/>
    <x v="3"/>
    <x v="3"/>
    <s v="New York"/>
    <s v="Croissant"/>
    <x v="3"/>
    <n v="3"/>
    <n v="3.17"/>
    <n v="9.51"/>
    <n v="0.05"/>
    <n v="0.48"/>
    <n v="9.0299999999999994"/>
    <n v="2.94"/>
    <n v="6.09"/>
    <x v="2"/>
    <x v="1"/>
    <s v="In-Store"/>
    <n v="4"/>
  </r>
  <r>
    <s v="ORD500066"/>
    <s v="2024-09-19"/>
    <x v="8"/>
    <s v="ST026"/>
    <x v="6"/>
    <x v="3"/>
    <s v="Toronto"/>
    <s v="Chocolate Chip Cookie"/>
    <x v="3"/>
    <n v="2"/>
    <n v="2.39"/>
    <n v="4.78"/>
    <n v="0"/>
    <n v="0"/>
    <n v="4.78"/>
    <n v="1.78"/>
    <n v="3"/>
    <x v="1"/>
    <x v="0"/>
    <s v="Mobile App"/>
    <n v="4"/>
  </r>
  <r>
    <s v="ORD500007"/>
    <s v="2024-09-22"/>
    <x v="8"/>
    <s v="ST025"/>
    <x v="5"/>
    <x v="0"/>
    <s v="Melbourne"/>
    <s v="Cappuccino"/>
    <x v="4"/>
    <n v="1"/>
    <n v="4.01"/>
    <n v="4.01"/>
    <n v="0"/>
    <n v="0"/>
    <n v="4.01"/>
    <n v="1.68"/>
    <n v="2.33"/>
    <x v="1"/>
    <x v="2"/>
    <s v="In-Store"/>
    <n v="3"/>
  </r>
  <r>
    <s v="ORD500017"/>
    <s v="2024-09-22"/>
    <x v="8"/>
    <s v="ST011"/>
    <x v="4"/>
    <x v="2"/>
    <s v="Manchester"/>
    <s v="Blueberry Muffin"/>
    <x v="3"/>
    <n v="1"/>
    <n v="3.56"/>
    <n v="3.56"/>
    <n v="0.15"/>
    <n v="0.53"/>
    <n v="3.03"/>
    <n v="1.1299999999999999"/>
    <n v="1.9"/>
    <x v="0"/>
    <x v="2"/>
    <s v="Drive-Thru"/>
    <n v="4"/>
  </r>
  <r>
    <s v="ORD500264"/>
    <s v="2024-09-23"/>
    <x v="8"/>
    <s v="ST019"/>
    <x v="0"/>
    <x v="0"/>
    <s v="Mumbai"/>
    <s v="Frappe"/>
    <x v="0"/>
    <n v="1"/>
    <n v="4.9800000000000004"/>
    <n v="4.9800000000000004"/>
    <n v="0"/>
    <n v="0"/>
    <n v="4.9800000000000004"/>
    <n v="2.0699999999999998"/>
    <n v="2.91"/>
    <x v="1"/>
    <x v="0"/>
    <s v="Drive-Thru"/>
    <n v="3"/>
  </r>
  <r>
    <s v="ORD500295"/>
    <s v="2024-09-24"/>
    <x v="8"/>
    <s v="ST012"/>
    <x v="4"/>
    <x v="2"/>
    <s v="Manchester"/>
    <s v="Blueberry Muffin"/>
    <x v="3"/>
    <n v="1"/>
    <n v="3.39"/>
    <n v="3.39"/>
    <n v="0"/>
    <n v="0"/>
    <n v="3.39"/>
    <n v="1.18"/>
    <n v="2.21"/>
    <x v="1"/>
    <x v="1"/>
    <s v="Mobile App"/>
    <n v="4"/>
  </r>
  <r>
    <s v="ORD500238"/>
    <s v="2024-09-26"/>
    <x v="8"/>
    <s v="ST018"/>
    <x v="2"/>
    <x v="2"/>
    <s v="Hamburg"/>
    <s v="Croissant"/>
    <x v="3"/>
    <n v="1"/>
    <n v="3.3"/>
    <n v="3.3"/>
    <n v="0"/>
    <n v="0"/>
    <n v="3.3"/>
    <n v="1.3"/>
    <n v="2"/>
    <x v="0"/>
    <x v="3"/>
    <s v="In-Store"/>
    <n v="5"/>
  </r>
  <r>
    <s v="ORD500218"/>
    <s v="2024-09-27"/>
    <x v="8"/>
    <s v="ST008"/>
    <x v="3"/>
    <x v="3"/>
    <s v="Seattle"/>
    <s v="Chocolate Chip Cookie"/>
    <x v="3"/>
    <n v="2"/>
    <n v="2.44"/>
    <n v="4.88"/>
    <n v="0"/>
    <n v="0"/>
    <n v="4.88"/>
    <n v="1.83"/>
    <n v="3.05"/>
    <x v="0"/>
    <x v="0"/>
    <s v="In-Store"/>
    <n v="4"/>
  </r>
  <r>
    <s v="ORD500308"/>
    <s v="2024-09-30"/>
    <x v="8"/>
    <s v="ST028"/>
    <x v="1"/>
    <x v="1"/>
    <s v="Dubai"/>
    <s v="Avocado Toast"/>
    <x v="1"/>
    <n v="1"/>
    <n v="6.18"/>
    <n v="6.18"/>
    <n v="0"/>
    <n v="0"/>
    <n v="6.18"/>
    <n v="2.06"/>
    <n v="4.12"/>
    <x v="0"/>
    <x v="0"/>
    <s v="In-Store"/>
    <n v="5"/>
  </r>
  <r>
    <s v="ORD500171"/>
    <s v="2024-10-01"/>
    <x v="9"/>
    <s v="ST006"/>
    <x v="3"/>
    <x v="3"/>
    <s v="Houston"/>
    <s v="Iced Tea"/>
    <x v="0"/>
    <n v="1"/>
    <n v="3.76"/>
    <n v="3.76"/>
    <n v="0"/>
    <n v="0"/>
    <n v="3.76"/>
    <n v="1.42"/>
    <n v="2.34"/>
    <x v="1"/>
    <x v="2"/>
    <s v="In-Store"/>
    <n v="4"/>
  </r>
  <r>
    <s v="ORD500482"/>
    <s v="2024-10-04"/>
    <x v="9"/>
    <s v="ST017"/>
    <x v="2"/>
    <x v="2"/>
    <s v="Munich"/>
    <s v="Mocha"/>
    <x v="4"/>
    <n v="1"/>
    <n v="4.75"/>
    <n v="4.75"/>
    <n v="0"/>
    <n v="0"/>
    <n v="4.75"/>
    <n v="1.53"/>
    <n v="3.22"/>
    <x v="2"/>
    <x v="0"/>
    <s v="Mobile App"/>
    <n v="3"/>
  </r>
  <r>
    <s v="ORD500018"/>
    <s v="2024-10-04"/>
    <x v="9"/>
    <s v="ST021"/>
    <x v="0"/>
    <x v="0"/>
    <s v="Delhi"/>
    <s v="Ceramic Mug"/>
    <x v="2"/>
    <n v="3"/>
    <n v="9.1999999999999993"/>
    <n v="27.6"/>
    <n v="0.05"/>
    <n v="1.38"/>
    <n v="26.22"/>
    <n v="9.69"/>
    <n v="16.53"/>
    <x v="1"/>
    <x v="2"/>
    <s v="Drive-Thru"/>
    <n v="5"/>
  </r>
  <r>
    <s v="ORD500180"/>
    <s v="2024-10-06"/>
    <x v="9"/>
    <s v="ST027"/>
    <x v="6"/>
    <x v="3"/>
    <s v="Vancouver"/>
    <s v="Cappuccino"/>
    <x v="4"/>
    <n v="2"/>
    <n v="4.13"/>
    <n v="8.26"/>
    <n v="0"/>
    <n v="0"/>
    <n v="8.26"/>
    <n v="3.25"/>
    <n v="5.01"/>
    <x v="1"/>
    <x v="0"/>
    <s v="In-Store"/>
    <n v="4"/>
  </r>
  <r>
    <s v="ORD500051"/>
    <s v="2024-10-06"/>
    <x v="9"/>
    <s v="ST001"/>
    <x v="3"/>
    <x v="3"/>
    <s v="New York"/>
    <s v="Caesar Salad"/>
    <x v="1"/>
    <n v="4"/>
    <n v="8.56"/>
    <n v="34.24"/>
    <n v="0"/>
    <n v="0"/>
    <n v="34.24"/>
    <n v="13.5"/>
    <n v="20.74"/>
    <x v="2"/>
    <x v="3"/>
    <s v="In-Store"/>
    <n v="4"/>
  </r>
  <r>
    <s v="ORD500182"/>
    <s v="2024-10-07"/>
    <x v="9"/>
    <s v="ST029"/>
    <x v="1"/>
    <x v="1"/>
    <s v="Dubai"/>
    <s v="Club Sandwich"/>
    <x v="1"/>
    <n v="1"/>
    <n v="7.82"/>
    <n v="7.82"/>
    <n v="0"/>
    <n v="0"/>
    <n v="7.82"/>
    <n v="3.16"/>
    <n v="4.66"/>
    <x v="1"/>
    <x v="3"/>
    <s v="In-Store"/>
    <n v="5"/>
  </r>
  <r>
    <s v="ORD500473"/>
    <s v="2024-10-10"/>
    <x v="9"/>
    <s v="ST012"/>
    <x v="4"/>
    <x v="2"/>
    <s v="Manchester"/>
    <s v="Tumbler"/>
    <x v="2"/>
    <n v="5"/>
    <n v="14.99"/>
    <n v="74.95"/>
    <n v="0.1"/>
    <n v="7.5"/>
    <n v="67.45"/>
    <n v="24.06"/>
    <n v="43.39"/>
    <x v="0"/>
    <x v="0"/>
    <s v="In-Store"/>
    <n v="5"/>
  </r>
  <r>
    <s v="ORD500416"/>
    <s v="2024-10-12"/>
    <x v="9"/>
    <s v="ST028"/>
    <x v="1"/>
    <x v="1"/>
    <s v="Dubai"/>
    <s v="Iced Latte"/>
    <x v="0"/>
    <n v="1"/>
    <n v="4.7"/>
    <n v="4.7"/>
    <n v="0"/>
    <n v="0"/>
    <n v="4.7"/>
    <n v="1.81"/>
    <n v="2.89"/>
    <x v="0"/>
    <x v="0"/>
    <s v="In-Store"/>
    <n v="4"/>
  </r>
  <r>
    <s v="ORD500191"/>
    <s v="2024-10-14"/>
    <x v="9"/>
    <s v="ST007"/>
    <x v="3"/>
    <x v="3"/>
    <s v="Seattle"/>
    <s v="Whole Bean Coffee 250g"/>
    <x v="2"/>
    <n v="4"/>
    <n v="13.04"/>
    <n v="52.16"/>
    <n v="0"/>
    <n v="0"/>
    <n v="52.16"/>
    <n v="18.260000000000002"/>
    <n v="33.9"/>
    <x v="0"/>
    <x v="2"/>
    <s v="In-Store"/>
    <n v="5"/>
  </r>
  <r>
    <s v="ORD500041"/>
    <s v="2024-10-14"/>
    <x v="9"/>
    <s v="ST008"/>
    <x v="3"/>
    <x v="3"/>
    <s v="Seattle"/>
    <s v="Espresso"/>
    <x v="4"/>
    <n v="1"/>
    <n v="3.45"/>
    <n v="3.45"/>
    <n v="0"/>
    <n v="0"/>
    <n v="3.45"/>
    <n v="1.21"/>
    <n v="2.2400000000000002"/>
    <x v="0"/>
    <x v="0"/>
    <s v="In-Store"/>
    <n v="4"/>
  </r>
  <r>
    <s v="ORD500151"/>
    <s v="2024-10-15"/>
    <x v="9"/>
    <s v="ST006"/>
    <x v="3"/>
    <x v="3"/>
    <s v="Houston"/>
    <s v="Blueberry Muffin"/>
    <x v="3"/>
    <n v="1"/>
    <n v="3.33"/>
    <n v="3.33"/>
    <n v="0"/>
    <n v="0"/>
    <n v="3.33"/>
    <n v="1.33"/>
    <n v="2"/>
    <x v="1"/>
    <x v="0"/>
    <s v="In-Store"/>
    <n v="4"/>
  </r>
  <r>
    <s v="ORD500183"/>
    <s v="2024-10-16"/>
    <x v="9"/>
    <s v="ST008"/>
    <x v="3"/>
    <x v="3"/>
    <s v="Seattle"/>
    <s v="Cappuccino"/>
    <x v="4"/>
    <n v="3"/>
    <n v="4.17"/>
    <n v="12.51"/>
    <n v="0"/>
    <n v="0"/>
    <n v="12.51"/>
    <n v="4.5"/>
    <n v="8.01"/>
    <x v="0"/>
    <x v="3"/>
    <s v="In-Store"/>
    <n v="5"/>
  </r>
  <r>
    <s v="ORD500193"/>
    <s v="2024-10-17"/>
    <x v="9"/>
    <s v="ST016"/>
    <x v="2"/>
    <x v="2"/>
    <s v="Munich"/>
    <s v="Cappuccino"/>
    <x v="4"/>
    <n v="1"/>
    <n v="4.24"/>
    <n v="4.24"/>
    <n v="0.05"/>
    <n v="0.21"/>
    <n v="4.03"/>
    <n v="1.48"/>
    <n v="2.5499999999999998"/>
    <x v="2"/>
    <x v="1"/>
    <s v="In-Store"/>
    <n v="4"/>
  </r>
  <r>
    <s v="ORD500184"/>
    <s v="2024-10-18"/>
    <x v="9"/>
    <s v="ST001"/>
    <x v="3"/>
    <x v="3"/>
    <s v="New York"/>
    <s v="Cappuccino"/>
    <x v="4"/>
    <n v="5"/>
    <n v="4.34"/>
    <n v="21.7"/>
    <n v="0.05"/>
    <n v="1.08"/>
    <n v="20.62"/>
    <n v="7.81"/>
    <n v="12.81"/>
    <x v="2"/>
    <x v="0"/>
    <s v="In-Store"/>
    <n v="4"/>
  </r>
  <r>
    <s v="ORD500064"/>
    <s v="2024-10-20"/>
    <x v="9"/>
    <s v="ST027"/>
    <x v="6"/>
    <x v="3"/>
    <s v="Vancouver"/>
    <s v="Blueberry Muffin"/>
    <x v="3"/>
    <n v="4"/>
    <n v="3.53"/>
    <n v="14.12"/>
    <n v="0"/>
    <n v="0"/>
    <n v="14.12"/>
    <n v="5.34"/>
    <n v="8.7799999999999994"/>
    <x v="0"/>
    <x v="3"/>
    <s v="Mobile App"/>
    <n v="5"/>
  </r>
  <r>
    <s v="ORD500331"/>
    <s v="2024-10-21"/>
    <x v="9"/>
    <s v="ST012"/>
    <x v="4"/>
    <x v="2"/>
    <s v="Manchester"/>
    <s v="Iced Tea"/>
    <x v="0"/>
    <n v="3"/>
    <n v="3.8"/>
    <n v="11.4"/>
    <n v="0"/>
    <n v="0"/>
    <n v="11.4"/>
    <n v="4.63"/>
    <n v="6.77"/>
    <x v="1"/>
    <x v="2"/>
    <s v="In-Store"/>
    <n v="5"/>
  </r>
  <r>
    <s v="ORD500248"/>
    <s v="2024-10-22"/>
    <x v="9"/>
    <s v="ST016"/>
    <x v="2"/>
    <x v="2"/>
    <s v="Munich"/>
    <s v="Chocolate Chip Cookie"/>
    <x v="3"/>
    <n v="2"/>
    <n v="2.57"/>
    <n v="5.14"/>
    <n v="0"/>
    <n v="0"/>
    <n v="5.14"/>
    <n v="2.09"/>
    <n v="3.05"/>
    <x v="0"/>
    <x v="1"/>
    <s v="Drive-Thru"/>
    <n v="5"/>
  </r>
  <r>
    <s v="ORD500344"/>
    <s v="2024-10-24"/>
    <x v="9"/>
    <s v="ST026"/>
    <x v="6"/>
    <x v="3"/>
    <s v="Toronto"/>
    <s v="Croissant"/>
    <x v="3"/>
    <n v="3"/>
    <n v="3.26"/>
    <n v="9.7799999999999994"/>
    <n v="0"/>
    <n v="0"/>
    <n v="9.7799999999999994"/>
    <n v="3.88"/>
    <n v="5.9"/>
    <x v="1"/>
    <x v="1"/>
    <s v="In-Store"/>
    <n v="5"/>
  </r>
  <r>
    <s v="ORD500139"/>
    <s v="2024-10-26"/>
    <x v="9"/>
    <s v="ST022"/>
    <x v="0"/>
    <x v="0"/>
    <s v="Bengaluru"/>
    <s v="Croissant"/>
    <x v="3"/>
    <n v="2"/>
    <n v="3.09"/>
    <n v="6.18"/>
    <n v="0.1"/>
    <n v="0.62"/>
    <n v="5.56"/>
    <n v="1.87"/>
    <n v="3.69"/>
    <x v="1"/>
    <x v="3"/>
    <s v="Mobile App"/>
    <n v="4"/>
  </r>
  <r>
    <s v="ORD500097"/>
    <s v="2024-10-28"/>
    <x v="9"/>
    <s v="ST023"/>
    <x v="0"/>
    <x v="0"/>
    <s v="Bengaluru"/>
    <s v="Espresso"/>
    <x v="4"/>
    <n v="3"/>
    <n v="3.4"/>
    <n v="10.199999999999999"/>
    <n v="0"/>
    <n v="0"/>
    <n v="10.199999999999999"/>
    <n v="3.64"/>
    <n v="6.56"/>
    <x v="1"/>
    <x v="0"/>
    <s v="In-Store"/>
    <n v="4"/>
  </r>
  <r>
    <s v="ORD500411"/>
    <s v="2024-10-29"/>
    <x v="9"/>
    <s v="ST016"/>
    <x v="2"/>
    <x v="2"/>
    <s v="Munich"/>
    <s v="Mocha"/>
    <x v="4"/>
    <n v="1"/>
    <n v="4.92"/>
    <n v="4.92"/>
    <n v="0.1"/>
    <n v="0.49"/>
    <n v="4.43"/>
    <n v="1.54"/>
    <n v="2.89"/>
    <x v="1"/>
    <x v="2"/>
    <s v="In-Store"/>
    <n v="5"/>
  </r>
  <r>
    <s v="ORD500061"/>
    <s v="2024-10-30"/>
    <x v="9"/>
    <s v="ST013"/>
    <x v="4"/>
    <x v="2"/>
    <s v="Birmingham"/>
    <s v="Cold Brew"/>
    <x v="0"/>
    <n v="1"/>
    <n v="4.8"/>
    <n v="4.8"/>
    <n v="0"/>
    <n v="0"/>
    <n v="4.8"/>
    <n v="1.75"/>
    <n v="3.05"/>
    <x v="0"/>
    <x v="3"/>
    <s v="Mobile App"/>
    <n v="5"/>
  </r>
  <r>
    <s v="ORD500128"/>
    <s v="2024-10-30"/>
    <x v="9"/>
    <s v="ST009"/>
    <x v="4"/>
    <x v="2"/>
    <s v="London"/>
    <s v="Iced Tea"/>
    <x v="0"/>
    <n v="1"/>
    <n v="3.72"/>
    <n v="3.72"/>
    <n v="0"/>
    <n v="0"/>
    <n v="3.72"/>
    <n v="1.22"/>
    <n v="2.5"/>
    <x v="1"/>
    <x v="3"/>
    <s v="In-Store"/>
    <n v="5"/>
  </r>
  <r>
    <s v="ORD500498"/>
    <s v="2024-11-01"/>
    <x v="10"/>
    <s v="ST020"/>
    <x v="0"/>
    <x v="0"/>
    <s v="Mumbai"/>
    <s v="Latte"/>
    <x v="4"/>
    <n v="1"/>
    <n v="4.46"/>
    <n v="4.46"/>
    <n v="0.05"/>
    <n v="0.22"/>
    <n v="4.24"/>
    <n v="1.36"/>
    <n v="2.88"/>
    <x v="2"/>
    <x v="0"/>
    <s v="Drive-Thru"/>
    <n v="4"/>
  </r>
  <r>
    <s v="ORD500254"/>
    <s v="2024-11-01"/>
    <x v="10"/>
    <s v="ST001"/>
    <x v="3"/>
    <x v="3"/>
    <s v="New York"/>
    <s v="Granola Bowl"/>
    <x v="1"/>
    <n v="1"/>
    <n v="6.67"/>
    <n v="6.67"/>
    <n v="0.1"/>
    <n v="0.67"/>
    <n v="6"/>
    <n v="2.0699999999999998"/>
    <n v="3.93"/>
    <x v="0"/>
    <x v="0"/>
    <s v="Drive-Thru"/>
    <n v="5"/>
  </r>
  <r>
    <s v="ORD500140"/>
    <s v="2024-11-02"/>
    <x v="10"/>
    <s v="ST022"/>
    <x v="0"/>
    <x v="0"/>
    <s v="Bengaluru"/>
    <s v="Croissant"/>
    <x v="3"/>
    <n v="4"/>
    <n v="3.09"/>
    <n v="12.36"/>
    <n v="0"/>
    <n v="0"/>
    <n v="12.36"/>
    <n v="4.4000000000000004"/>
    <n v="7.96"/>
    <x v="0"/>
    <x v="3"/>
    <s v="Drive-Thru"/>
    <n v="4"/>
  </r>
  <r>
    <s v="ORD500045"/>
    <s v="2024-11-05"/>
    <x v="10"/>
    <s v="ST030"/>
    <x v="1"/>
    <x v="1"/>
    <s v="Abu Dhabi"/>
    <s v="Granola Bowl"/>
    <x v="1"/>
    <n v="1"/>
    <n v="7.14"/>
    <n v="7.14"/>
    <n v="0"/>
    <n v="0"/>
    <n v="7.14"/>
    <n v="2.7"/>
    <n v="4.4400000000000004"/>
    <x v="0"/>
    <x v="0"/>
    <s v="Drive-Thru"/>
    <n v="5"/>
  </r>
  <r>
    <s v="ORD500062"/>
    <s v="2024-11-05"/>
    <x v="10"/>
    <s v="ST011"/>
    <x v="4"/>
    <x v="2"/>
    <s v="Manchester"/>
    <s v="Espresso"/>
    <x v="4"/>
    <n v="1"/>
    <n v="3.56"/>
    <n v="3.56"/>
    <n v="0.1"/>
    <n v="0.36"/>
    <n v="3.2"/>
    <n v="1.1499999999999999"/>
    <n v="2.0499999999999998"/>
    <x v="0"/>
    <x v="2"/>
    <s v="Drive-Thru"/>
    <n v="4"/>
  </r>
  <r>
    <s v="ORD500099"/>
    <s v="2024-11-07"/>
    <x v="10"/>
    <s v="ST001"/>
    <x v="3"/>
    <x v="3"/>
    <s v="New York"/>
    <s v="Blueberry Muffin"/>
    <x v="3"/>
    <n v="1"/>
    <n v="3.55"/>
    <n v="3.55"/>
    <n v="0.1"/>
    <n v="0.36"/>
    <n v="3.19"/>
    <n v="1.22"/>
    <n v="1.97"/>
    <x v="2"/>
    <x v="2"/>
    <s v="Mobile App"/>
    <n v="4"/>
  </r>
  <r>
    <s v="ORD500149"/>
    <s v="2024-11-07"/>
    <x v="10"/>
    <s v="ST029"/>
    <x v="1"/>
    <x v="1"/>
    <s v="Dubai"/>
    <s v="Avocado Toast"/>
    <x v="1"/>
    <n v="1"/>
    <n v="6.32"/>
    <n v="6.32"/>
    <n v="0"/>
    <n v="0"/>
    <n v="6.32"/>
    <n v="2.37"/>
    <n v="3.95"/>
    <x v="1"/>
    <x v="0"/>
    <s v="Mobile App"/>
    <n v="5"/>
  </r>
  <r>
    <s v="ORD500488"/>
    <s v="2024-11-10"/>
    <x v="10"/>
    <s v="ST016"/>
    <x v="2"/>
    <x v="2"/>
    <s v="Munich"/>
    <s v="Cappuccino"/>
    <x v="4"/>
    <n v="1"/>
    <n v="4.1900000000000004"/>
    <n v="4.1900000000000004"/>
    <n v="0"/>
    <n v="0"/>
    <n v="4.1900000000000004"/>
    <n v="1.36"/>
    <n v="2.83"/>
    <x v="1"/>
    <x v="1"/>
    <s v="In-Store"/>
    <n v="5"/>
  </r>
  <r>
    <s v="ORD500470"/>
    <s v="2024-11-13"/>
    <x v="10"/>
    <s v="ST028"/>
    <x v="1"/>
    <x v="1"/>
    <s v="Dubai"/>
    <s v="Iced Latte"/>
    <x v="0"/>
    <n v="4"/>
    <n v="5.1100000000000003"/>
    <n v="20.440000000000001"/>
    <n v="0.1"/>
    <n v="2.04"/>
    <n v="18.399999999999999"/>
    <n v="6.18"/>
    <n v="12.22"/>
    <x v="1"/>
    <x v="0"/>
    <s v="Drive-Thru"/>
    <n v="5"/>
  </r>
  <r>
    <s v="ORD500029"/>
    <s v="2024-11-14"/>
    <x v="10"/>
    <s v="ST010"/>
    <x v="4"/>
    <x v="2"/>
    <s v="London"/>
    <s v="Caesar Salad"/>
    <x v="1"/>
    <n v="5"/>
    <n v="8.01"/>
    <n v="40.049999999999997"/>
    <n v="0"/>
    <n v="0"/>
    <n v="40.049999999999997"/>
    <n v="15.1"/>
    <n v="24.95"/>
    <x v="1"/>
    <x v="2"/>
    <s v="Drive-Thru"/>
    <n v="4"/>
  </r>
  <r>
    <s v="ORD500309"/>
    <s v="2024-11-16"/>
    <x v="10"/>
    <s v="ST009"/>
    <x v="4"/>
    <x v="2"/>
    <s v="London"/>
    <s v="Espresso"/>
    <x v="4"/>
    <n v="1"/>
    <n v="3.53"/>
    <n v="3.53"/>
    <n v="0"/>
    <n v="0"/>
    <n v="3.53"/>
    <n v="1.1499999999999999"/>
    <n v="2.38"/>
    <x v="0"/>
    <x v="3"/>
    <s v="Drive-Thru"/>
    <n v="5"/>
  </r>
  <r>
    <s v="ORD500216"/>
    <s v="2024-11-16"/>
    <x v="10"/>
    <s v="ST023"/>
    <x v="0"/>
    <x v="0"/>
    <s v="Bengaluru"/>
    <s v="Tumbler"/>
    <x v="2"/>
    <n v="1"/>
    <n v="15.42"/>
    <n v="15.42"/>
    <n v="0"/>
    <n v="0"/>
    <n v="15.42"/>
    <n v="5.89"/>
    <n v="9.5299999999999994"/>
    <x v="2"/>
    <x v="1"/>
    <s v="In-Store"/>
    <n v="1"/>
  </r>
  <r>
    <s v="ORD500025"/>
    <s v="2024-11-18"/>
    <x v="10"/>
    <s v="ST028"/>
    <x v="1"/>
    <x v="1"/>
    <s v="Dubai"/>
    <s v="Iced Latte"/>
    <x v="0"/>
    <n v="2"/>
    <n v="4.82"/>
    <n v="9.64"/>
    <n v="0"/>
    <n v="0"/>
    <n v="9.64"/>
    <n v="3.25"/>
    <n v="6.39"/>
    <x v="0"/>
    <x v="0"/>
    <s v="In-Store"/>
    <n v="5"/>
  </r>
  <r>
    <s v="ORD500100"/>
    <s v="2024-11-20"/>
    <x v="10"/>
    <s v="ST010"/>
    <x v="4"/>
    <x v="2"/>
    <s v="London"/>
    <s v="Granola Bowl"/>
    <x v="1"/>
    <n v="2"/>
    <n v="7.19"/>
    <n v="14.38"/>
    <n v="0"/>
    <n v="0"/>
    <n v="14.38"/>
    <n v="4.78"/>
    <n v="9.6"/>
    <x v="1"/>
    <x v="3"/>
    <s v="In-Store"/>
    <n v="4"/>
  </r>
  <r>
    <s v="ORD500350"/>
    <s v="2024-11-21"/>
    <x v="10"/>
    <s v="ST027"/>
    <x v="6"/>
    <x v="3"/>
    <s v="Vancouver"/>
    <s v="Granola Bowl"/>
    <x v="1"/>
    <n v="1"/>
    <n v="6.59"/>
    <n v="6.59"/>
    <n v="0"/>
    <n v="0"/>
    <n v="6.59"/>
    <n v="2.65"/>
    <n v="3.94"/>
    <x v="2"/>
    <x v="0"/>
    <s v="In-Store"/>
    <n v="4"/>
  </r>
  <r>
    <s v="ORD500085"/>
    <s v="2024-11-22"/>
    <x v="10"/>
    <s v="ST010"/>
    <x v="4"/>
    <x v="2"/>
    <s v="London"/>
    <s v="Club Sandwich"/>
    <x v="1"/>
    <n v="3"/>
    <n v="7.73"/>
    <n v="23.19"/>
    <n v="0"/>
    <n v="0"/>
    <n v="23.19"/>
    <n v="9.11"/>
    <n v="14.08"/>
    <x v="2"/>
    <x v="0"/>
    <s v="Mobile App"/>
    <n v="4"/>
  </r>
  <r>
    <s v="ORD500378"/>
    <s v="2024-11-23"/>
    <x v="10"/>
    <s v="ST006"/>
    <x v="3"/>
    <x v="3"/>
    <s v="Houston"/>
    <s v="Frappe"/>
    <x v="0"/>
    <n v="3"/>
    <n v="5.12"/>
    <n v="15.36"/>
    <n v="0"/>
    <n v="0"/>
    <n v="15.36"/>
    <n v="5.51"/>
    <n v="9.85"/>
    <x v="2"/>
    <x v="0"/>
    <s v="In-Store"/>
    <n v="3"/>
  </r>
  <r>
    <s v="ORD500490"/>
    <s v="2024-11-25"/>
    <x v="10"/>
    <s v="ST020"/>
    <x v="0"/>
    <x v="0"/>
    <s v="Mumbai"/>
    <s v="Whole Bean Coffee 250g"/>
    <x v="2"/>
    <n v="1"/>
    <n v="12.12"/>
    <n v="12.12"/>
    <n v="0"/>
    <n v="0"/>
    <n v="12.12"/>
    <n v="4.91"/>
    <n v="7.21"/>
    <x v="0"/>
    <x v="0"/>
    <s v="In-Store"/>
    <n v="5"/>
  </r>
  <r>
    <s v="ORD500391"/>
    <s v="2024-11-27"/>
    <x v="10"/>
    <s v="ST014"/>
    <x v="4"/>
    <x v="2"/>
    <s v="Birmingham"/>
    <s v="Granola Bowl"/>
    <x v="1"/>
    <n v="3"/>
    <n v="6.67"/>
    <n v="20.010000000000002"/>
    <n v="0"/>
    <n v="0"/>
    <n v="20.010000000000002"/>
    <n v="6.9"/>
    <n v="13.11"/>
    <x v="0"/>
    <x v="0"/>
    <s v="Drive-Thru"/>
    <n v="4"/>
  </r>
  <r>
    <s v="ORD500126"/>
    <s v="2024-11-28"/>
    <x v="10"/>
    <s v="ST002"/>
    <x v="3"/>
    <x v="3"/>
    <s v="New York"/>
    <s v="Caesar Salad"/>
    <x v="1"/>
    <n v="1"/>
    <n v="8.59"/>
    <n v="8.59"/>
    <n v="0"/>
    <n v="0"/>
    <n v="8.59"/>
    <n v="3.34"/>
    <n v="5.25"/>
    <x v="0"/>
    <x v="2"/>
    <s v="In-Store"/>
    <n v="4"/>
  </r>
  <r>
    <s v="ORD500250"/>
    <s v="2024-11-28"/>
    <x v="10"/>
    <s v="ST016"/>
    <x v="2"/>
    <x v="2"/>
    <s v="Munich"/>
    <s v="Iced Tea"/>
    <x v="0"/>
    <n v="1"/>
    <n v="3.77"/>
    <n v="3.77"/>
    <n v="0.1"/>
    <n v="0.38"/>
    <n v="3.39"/>
    <n v="1.25"/>
    <n v="2.14"/>
    <x v="0"/>
    <x v="2"/>
    <s v="In-Store"/>
    <n v="5"/>
  </r>
  <r>
    <s v="ORD500351"/>
    <s v="2024-11-30"/>
    <x v="10"/>
    <s v="ST027"/>
    <x v="6"/>
    <x v="3"/>
    <s v="Vancouver"/>
    <s v="Croissant"/>
    <x v="3"/>
    <n v="2"/>
    <n v="3.06"/>
    <n v="6.12"/>
    <n v="0"/>
    <n v="0"/>
    <n v="6.12"/>
    <n v="2.4"/>
    <n v="3.72"/>
    <x v="1"/>
    <x v="2"/>
    <s v="Mobile App"/>
    <n v="4"/>
  </r>
  <r>
    <s v="ORD500160"/>
    <s v="2024-12-02"/>
    <x v="11"/>
    <s v="ST020"/>
    <x v="0"/>
    <x v="0"/>
    <s v="Mumbai"/>
    <s v="Club Sandwich"/>
    <x v="1"/>
    <n v="2"/>
    <n v="8"/>
    <n v="16"/>
    <n v="0.05"/>
    <n v="0.8"/>
    <n v="15.2"/>
    <n v="5.23"/>
    <n v="9.9700000000000006"/>
    <x v="2"/>
    <x v="3"/>
    <s v="In-Store"/>
    <n v="3"/>
  </r>
  <r>
    <s v="ORD500383"/>
    <s v="2024-12-03"/>
    <x v="11"/>
    <s v="ST018"/>
    <x v="2"/>
    <x v="2"/>
    <s v="Hamburg"/>
    <s v="Frappe"/>
    <x v="0"/>
    <n v="2"/>
    <n v="5.32"/>
    <n v="10.64"/>
    <n v="0"/>
    <n v="0"/>
    <n v="10.64"/>
    <n v="3.53"/>
    <n v="7.11"/>
    <x v="0"/>
    <x v="2"/>
    <s v="Drive-Thru"/>
    <n v="5"/>
  </r>
  <r>
    <s v="ORD500280"/>
    <s v="2024-12-04"/>
    <x v="11"/>
    <s v="ST025"/>
    <x v="5"/>
    <x v="0"/>
    <s v="Melbourne"/>
    <s v="Tumbler"/>
    <x v="2"/>
    <n v="4"/>
    <n v="14.62"/>
    <n v="58.48"/>
    <n v="0.1"/>
    <n v="5.85"/>
    <n v="52.63"/>
    <n v="20.65"/>
    <n v="31.98"/>
    <x v="1"/>
    <x v="0"/>
    <s v="In-Store"/>
    <n v="5"/>
  </r>
  <r>
    <s v="ORD500497"/>
    <s v="2024-12-05"/>
    <x v="11"/>
    <s v="ST025"/>
    <x v="5"/>
    <x v="0"/>
    <s v="Melbourne"/>
    <s v="Iced Latte"/>
    <x v="0"/>
    <n v="1"/>
    <n v="4.72"/>
    <n v="4.72"/>
    <n v="0"/>
    <n v="0"/>
    <n v="4.72"/>
    <n v="1.54"/>
    <n v="3.18"/>
    <x v="0"/>
    <x v="2"/>
    <s v="In-Store"/>
    <n v="4"/>
  </r>
  <r>
    <s v="ORD500259"/>
    <s v="2024-12-08"/>
    <x v="11"/>
    <s v="ST006"/>
    <x v="3"/>
    <x v="3"/>
    <s v="Houston"/>
    <s v="Latte"/>
    <x v="4"/>
    <n v="1"/>
    <n v="4.46"/>
    <n v="4.46"/>
    <n v="0"/>
    <n v="0"/>
    <n v="4.46"/>
    <n v="1.57"/>
    <n v="2.89"/>
    <x v="1"/>
    <x v="3"/>
    <s v="In-Store"/>
    <n v="5"/>
  </r>
  <r>
    <s v="ORD500364"/>
    <s v="2024-12-08"/>
    <x v="11"/>
    <s v="ST024"/>
    <x v="5"/>
    <x v="0"/>
    <s v="Sydney"/>
    <s v="Iced Latte"/>
    <x v="0"/>
    <n v="2"/>
    <n v="5"/>
    <n v="10"/>
    <n v="0"/>
    <n v="0"/>
    <n v="10"/>
    <n v="3.36"/>
    <n v="6.64"/>
    <x v="0"/>
    <x v="0"/>
    <s v="Drive-Thru"/>
    <n v="5"/>
  </r>
  <r>
    <s v="ORD500102"/>
    <s v="2024-12-09"/>
    <x v="11"/>
    <s v="ST023"/>
    <x v="0"/>
    <x v="0"/>
    <s v="Bengaluru"/>
    <s v="Bagel with Cream Cheese"/>
    <x v="3"/>
    <n v="2"/>
    <n v="3.51"/>
    <n v="7.02"/>
    <n v="0"/>
    <n v="0"/>
    <n v="7.02"/>
    <n v="2.64"/>
    <n v="4.38"/>
    <x v="2"/>
    <x v="2"/>
    <s v="In-Store"/>
    <n v="4"/>
  </r>
  <r>
    <s v="ORD500105"/>
    <s v="2024-12-12"/>
    <x v="11"/>
    <s v="ST003"/>
    <x v="3"/>
    <x v="3"/>
    <s v="Los Angeles"/>
    <s v="Croissant"/>
    <x v="3"/>
    <n v="1"/>
    <n v="3.33"/>
    <n v="3.33"/>
    <n v="0"/>
    <n v="0"/>
    <n v="3.33"/>
    <n v="1.25"/>
    <n v="2.08"/>
    <x v="0"/>
    <x v="2"/>
    <s v="In-Store"/>
    <n v="4"/>
  </r>
  <r>
    <s v="ORD500194"/>
    <s v="2024-12-13"/>
    <x v="11"/>
    <s v="ST013"/>
    <x v="4"/>
    <x v="2"/>
    <s v="Birmingham"/>
    <s v="Iced Tea"/>
    <x v="0"/>
    <n v="3"/>
    <n v="3.84"/>
    <n v="11.52"/>
    <n v="0"/>
    <n v="0"/>
    <n v="11.52"/>
    <n v="4.2"/>
    <n v="7.32"/>
    <x v="1"/>
    <x v="0"/>
    <s v="In-Store"/>
    <n v="1"/>
  </r>
  <r>
    <s v="ORD500336"/>
    <s v="2024-12-14"/>
    <x v="11"/>
    <s v="ST029"/>
    <x v="1"/>
    <x v="1"/>
    <s v="Dubai"/>
    <s v="Ceramic Mug"/>
    <x v="2"/>
    <n v="1"/>
    <n v="9.36"/>
    <n v="9.36"/>
    <n v="0"/>
    <n v="0"/>
    <n v="9.36"/>
    <n v="3.64"/>
    <n v="5.72"/>
    <x v="0"/>
    <x v="2"/>
    <s v="In-Store"/>
    <n v="5"/>
  </r>
  <r>
    <s v="ORD500426"/>
    <s v="2024-12-15"/>
    <x v="11"/>
    <s v="ST012"/>
    <x v="4"/>
    <x v="2"/>
    <s v="Manchester"/>
    <s v="Americano"/>
    <x v="4"/>
    <n v="2"/>
    <n v="3.73"/>
    <n v="7.46"/>
    <n v="0"/>
    <n v="0"/>
    <n v="7.46"/>
    <n v="2.5299999999999998"/>
    <n v="4.93"/>
    <x v="2"/>
    <x v="3"/>
    <s v="In-Store"/>
    <n v="2"/>
  </r>
  <r>
    <s v="ORD500382"/>
    <s v="2024-12-16"/>
    <x v="11"/>
    <s v="ST011"/>
    <x v="4"/>
    <x v="2"/>
    <s v="Manchester"/>
    <s v="Avocado Toast"/>
    <x v="1"/>
    <n v="2"/>
    <n v="6.59"/>
    <n v="13.18"/>
    <n v="0"/>
    <n v="0"/>
    <n v="13.18"/>
    <n v="5.13"/>
    <n v="8.0500000000000007"/>
    <x v="0"/>
    <x v="1"/>
    <s v="Mobile App"/>
    <n v="4"/>
  </r>
  <r>
    <s v="ORD500360"/>
    <s v="2024-12-18"/>
    <x v="11"/>
    <s v="ST010"/>
    <x v="4"/>
    <x v="2"/>
    <s v="London"/>
    <s v="Granola Bowl"/>
    <x v="1"/>
    <n v="1"/>
    <n v="7.15"/>
    <n v="7.15"/>
    <n v="0.15"/>
    <n v="1.07"/>
    <n v="6.08"/>
    <n v="2.08"/>
    <n v="4"/>
    <x v="1"/>
    <x v="2"/>
    <s v="In-Store"/>
    <n v="2"/>
  </r>
  <r>
    <s v="ORD500089"/>
    <s v="2024-12-18"/>
    <x v="11"/>
    <s v="ST024"/>
    <x v="5"/>
    <x v="0"/>
    <s v="Sydney"/>
    <s v="Club Sandwich"/>
    <x v="1"/>
    <n v="1"/>
    <n v="7.52"/>
    <n v="7.52"/>
    <n v="0.15"/>
    <n v="1.1299999999999999"/>
    <n v="6.39"/>
    <n v="2.41"/>
    <n v="3.98"/>
    <x v="1"/>
    <x v="3"/>
    <s v="Mobile App"/>
    <n v="4"/>
  </r>
  <r>
    <s v="ORD500117"/>
    <s v="2024-12-20"/>
    <x v="11"/>
    <s v="ST018"/>
    <x v="2"/>
    <x v="2"/>
    <s v="Hamburg"/>
    <s v="Chocolate Chip Cookie"/>
    <x v="3"/>
    <n v="2"/>
    <n v="2.56"/>
    <n v="5.12"/>
    <n v="0"/>
    <n v="0"/>
    <n v="5.12"/>
    <n v="1.78"/>
    <n v="3.34"/>
    <x v="1"/>
    <x v="3"/>
    <s v="In-Store"/>
    <n v="5"/>
  </r>
  <r>
    <s v="ORD500034"/>
    <s v="2024-12-22"/>
    <x v="11"/>
    <s v="ST022"/>
    <x v="0"/>
    <x v="0"/>
    <s v="Bengaluru"/>
    <s v="Whole Bean Coffee 250g"/>
    <x v="2"/>
    <n v="3"/>
    <n v="12.66"/>
    <n v="37.979999999999997"/>
    <n v="0"/>
    <n v="0"/>
    <n v="37.979999999999997"/>
    <n v="15.85"/>
    <n v="22.13"/>
    <x v="1"/>
    <x v="2"/>
    <s v="Mobile App"/>
    <n v="4"/>
  </r>
  <r>
    <s v="ORD500164"/>
    <s v="2024-12-23"/>
    <x v="11"/>
    <s v="ST026"/>
    <x v="6"/>
    <x v="3"/>
    <s v="Toronto"/>
    <s v="Cold Brew"/>
    <x v="0"/>
    <n v="1"/>
    <n v="4.7699999999999996"/>
    <n v="4.7699999999999996"/>
    <n v="0"/>
    <n v="0"/>
    <n v="4.7699999999999996"/>
    <n v="1.99"/>
    <n v="2.78"/>
    <x v="1"/>
    <x v="0"/>
    <s v="In-Store"/>
    <n v="5"/>
  </r>
  <r>
    <s v="ORD500227"/>
    <s v="2024-12-29"/>
    <x v="11"/>
    <s v="ST017"/>
    <x v="2"/>
    <x v="2"/>
    <s v="Munich"/>
    <s v="Cappuccino"/>
    <x v="4"/>
    <n v="4"/>
    <n v="4.37"/>
    <n v="17.48"/>
    <n v="0"/>
    <n v="0"/>
    <n v="17.48"/>
    <n v="5.71"/>
    <n v="11.77"/>
    <x v="1"/>
    <x v="2"/>
    <s v="In-Store"/>
    <n v="3"/>
  </r>
  <r>
    <s v="ORD500405"/>
    <s v="2024-12-30"/>
    <x v="11"/>
    <s v="ST029"/>
    <x v="1"/>
    <x v="1"/>
    <s v="Dubai"/>
    <s v="Americano"/>
    <x v="4"/>
    <n v="2"/>
    <n v="3.78"/>
    <n v="7.56"/>
    <n v="0.1"/>
    <n v="0.76"/>
    <n v="6.8"/>
    <n v="2.46"/>
    <n v="4.34"/>
    <x v="1"/>
    <x v="2"/>
    <s v="Mobile App"/>
    <n v="4"/>
  </r>
  <r>
    <s v="ORD500114"/>
    <s v="2024-12-31"/>
    <x v="11"/>
    <s v="ST018"/>
    <x v="2"/>
    <x v="2"/>
    <s v="Hamburg"/>
    <s v="Frappe"/>
    <x v="0"/>
    <n v="2"/>
    <n v="5.43"/>
    <n v="10.86"/>
    <n v="0"/>
    <n v="0"/>
    <n v="10.86"/>
    <n v="4.22"/>
    <n v="6.64"/>
    <x v="0"/>
    <x v="3"/>
    <s v="In-Store"/>
    <n v="5"/>
  </r>
  <r>
    <s v="ORD500499"/>
    <s v="2025-01-01"/>
    <x v="0"/>
    <s v="ST015"/>
    <x v="2"/>
    <x v="2"/>
    <s v="Berlin"/>
    <s v="Granola Bowl"/>
    <x v="1"/>
    <n v="2"/>
    <n v="6.96"/>
    <n v="13.92"/>
    <n v="0"/>
    <n v="0"/>
    <n v="13.92"/>
    <n v="4.51"/>
    <n v="9.41"/>
    <x v="0"/>
    <x v="1"/>
    <s v="Mobile App"/>
    <n v="4"/>
  </r>
  <r>
    <s v="ORD500294"/>
    <s v="2025-01-11"/>
    <x v="0"/>
    <s v="ST029"/>
    <x v="1"/>
    <x v="1"/>
    <s v="Dubai"/>
    <s v="Croissant"/>
    <x v="3"/>
    <n v="1"/>
    <n v="3.31"/>
    <n v="3.31"/>
    <n v="0"/>
    <n v="0"/>
    <n v="3.31"/>
    <n v="1.38"/>
    <n v="1.93"/>
    <x v="1"/>
    <x v="2"/>
    <s v="Mobile App"/>
    <n v="4"/>
  </r>
  <r>
    <s v="ORD500197"/>
    <s v="2025-01-14"/>
    <x v="0"/>
    <s v="ST004"/>
    <x v="3"/>
    <x v="3"/>
    <s v="Chicago"/>
    <s v="Iced Tea"/>
    <x v="0"/>
    <n v="1"/>
    <n v="3.82"/>
    <n v="3.82"/>
    <n v="0.1"/>
    <n v="0.38"/>
    <n v="3.44"/>
    <n v="1.31"/>
    <n v="2.13"/>
    <x v="0"/>
    <x v="0"/>
    <s v="Drive-Thru"/>
    <n v="5"/>
  </r>
  <r>
    <s v="ORD500198"/>
    <s v="2025-01-14"/>
    <x v="0"/>
    <s v="ST006"/>
    <x v="3"/>
    <x v="3"/>
    <s v="Houston"/>
    <s v="Blueberry Muffin"/>
    <x v="3"/>
    <n v="1"/>
    <n v="3.35"/>
    <n v="3.35"/>
    <n v="0"/>
    <n v="0"/>
    <n v="3.35"/>
    <n v="1.31"/>
    <n v="2.04"/>
    <x v="1"/>
    <x v="1"/>
    <s v="In-Store"/>
    <n v="3"/>
  </r>
  <r>
    <s v="ORD500245"/>
    <s v="2025-01-16"/>
    <x v="0"/>
    <s v="ST023"/>
    <x v="0"/>
    <x v="0"/>
    <s v="Bengaluru"/>
    <s v="Tumbler"/>
    <x v="2"/>
    <n v="1"/>
    <n v="14.39"/>
    <n v="14.39"/>
    <n v="0"/>
    <n v="0"/>
    <n v="14.39"/>
    <n v="5.49"/>
    <n v="8.9"/>
    <x v="0"/>
    <x v="1"/>
    <s v="Drive-Thru"/>
    <n v="3"/>
  </r>
  <r>
    <s v="ORD500053"/>
    <s v="2025-01-16"/>
    <x v="0"/>
    <s v="ST023"/>
    <x v="0"/>
    <x v="0"/>
    <s v="Bengaluru"/>
    <s v="Americano"/>
    <x v="4"/>
    <n v="1"/>
    <n v="3.8"/>
    <n v="3.8"/>
    <n v="0"/>
    <n v="0"/>
    <n v="3.8"/>
    <n v="1.39"/>
    <n v="2.41"/>
    <x v="1"/>
    <x v="2"/>
    <s v="In-Store"/>
    <n v="5"/>
  </r>
  <r>
    <s v="ORD500480"/>
    <s v="2025-01-17"/>
    <x v="0"/>
    <s v="ST008"/>
    <x v="3"/>
    <x v="3"/>
    <s v="Seattle"/>
    <s v="Cappuccino"/>
    <x v="4"/>
    <n v="1"/>
    <n v="4.17"/>
    <n v="4.17"/>
    <n v="0.05"/>
    <n v="0.21"/>
    <n v="3.96"/>
    <n v="1.34"/>
    <n v="2.62"/>
    <x v="2"/>
    <x v="2"/>
    <s v="In-Store"/>
    <n v="1"/>
  </r>
  <r>
    <s v="ORD500056"/>
    <s v="2025-01-17"/>
    <x v="0"/>
    <s v="ST017"/>
    <x v="2"/>
    <x v="2"/>
    <s v="Munich"/>
    <s v="Bagel with Cream Cheese"/>
    <x v="3"/>
    <n v="2"/>
    <n v="3.75"/>
    <n v="7.5"/>
    <n v="0.15"/>
    <n v="1.1200000000000001"/>
    <n v="6.38"/>
    <n v="2.4"/>
    <n v="3.98"/>
    <x v="1"/>
    <x v="0"/>
    <s v="Mobile App"/>
    <n v="5"/>
  </r>
  <r>
    <s v="ORD500153"/>
    <s v="2025-01-21"/>
    <x v="0"/>
    <s v="ST011"/>
    <x v="4"/>
    <x v="2"/>
    <s v="Manchester"/>
    <s v="Avocado Toast"/>
    <x v="1"/>
    <n v="1"/>
    <n v="6.54"/>
    <n v="6.54"/>
    <n v="0"/>
    <n v="0"/>
    <n v="6.54"/>
    <n v="2.29"/>
    <n v="4.25"/>
    <x v="0"/>
    <x v="3"/>
    <s v="Drive-Thru"/>
    <n v="5"/>
  </r>
  <r>
    <s v="ORD500432"/>
    <s v="2025-01-24"/>
    <x v="0"/>
    <s v="ST017"/>
    <x v="2"/>
    <x v="2"/>
    <s v="Munich"/>
    <s v="Cappuccino"/>
    <x v="4"/>
    <n v="1"/>
    <n v="4.2"/>
    <n v="4.2"/>
    <n v="0"/>
    <n v="0"/>
    <n v="4.2"/>
    <n v="1.41"/>
    <n v="2.79"/>
    <x v="1"/>
    <x v="3"/>
    <s v="In-Store"/>
    <n v="3"/>
  </r>
  <r>
    <s v="ORD500399"/>
    <s v="2025-01-27"/>
    <x v="0"/>
    <s v="ST006"/>
    <x v="3"/>
    <x v="3"/>
    <s v="Houston"/>
    <s v="Cold Brew"/>
    <x v="0"/>
    <n v="1"/>
    <n v="4.8"/>
    <n v="4.8"/>
    <n v="0"/>
    <n v="0"/>
    <n v="4.8"/>
    <n v="1.7"/>
    <n v="3.1"/>
    <x v="1"/>
    <x v="0"/>
    <s v="Drive-Thru"/>
    <n v="5"/>
  </r>
  <r>
    <s v="ORD500118"/>
    <s v="2025-01-27"/>
    <x v="0"/>
    <s v="ST004"/>
    <x v="3"/>
    <x v="3"/>
    <s v="Chicago"/>
    <s v="Blueberry Muffin"/>
    <x v="3"/>
    <n v="3"/>
    <n v="3.25"/>
    <n v="9.75"/>
    <n v="0.1"/>
    <n v="0.98"/>
    <n v="8.77"/>
    <n v="3.49"/>
    <n v="5.28"/>
    <x v="0"/>
    <x v="2"/>
    <s v="Mobile App"/>
    <n v="5"/>
  </r>
  <r>
    <s v="ORD500281"/>
    <s v="2025-01-29"/>
    <x v="0"/>
    <s v="ST010"/>
    <x v="4"/>
    <x v="2"/>
    <s v="London"/>
    <s v="Caesar Salad"/>
    <x v="1"/>
    <n v="2"/>
    <n v="8.51"/>
    <n v="17.02"/>
    <n v="0"/>
    <n v="0"/>
    <n v="17.02"/>
    <n v="6.22"/>
    <n v="10.8"/>
    <x v="0"/>
    <x v="3"/>
    <s v="In-Store"/>
    <n v="4"/>
  </r>
  <r>
    <s v="ORD500361"/>
    <s v="2025-01-30"/>
    <x v="0"/>
    <s v="ST003"/>
    <x v="3"/>
    <x v="3"/>
    <s v="Los Angeles"/>
    <s v="Avocado Toast"/>
    <x v="1"/>
    <n v="2"/>
    <n v="6.33"/>
    <n v="12.66"/>
    <n v="0"/>
    <n v="0"/>
    <n v="12.66"/>
    <n v="4.72"/>
    <n v="7.94"/>
    <x v="2"/>
    <x v="0"/>
    <s v="Drive-Thru"/>
    <n v="5"/>
  </r>
  <r>
    <s v="ORD500381"/>
    <s v="2025-02-03"/>
    <x v="1"/>
    <s v="ST027"/>
    <x v="6"/>
    <x v="3"/>
    <s v="Vancouver"/>
    <s v="Iced Latte"/>
    <x v="0"/>
    <n v="1"/>
    <n v="5.01"/>
    <n v="5.01"/>
    <n v="0"/>
    <n v="0"/>
    <n v="5.01"/>
    <n v="2.08"/>
    <n v="2.93"/>
    <x v="1"/>
    <x v="3"/>
    <s v="Drive-Thru"/>
    <n v="5"/>
  </r>
  <r>
    <s v="ORD500390"/>
    <s v="2025-02-05"/>
    <x v="1"/>
    <s v="ST023"/>
    <x v="0"/>
    <x v="0"/>
    <s v="Bengaluru"/>
    <s v="Latte"/>
    <x v="4"/>
    <n v="1"/>
    <n v="4.45"/>
    <n v="4.45"/>
    <n v="0.15"/>
    <n v="0.67"/>
    <n v="3.78"/>
    <n v="1.24"/>
    <n v="2.54"/>
    <x v="1"/>
    <x v="2"/>
    <s v="In-Store"/>
    <n v="4"/>
  </r>
  <r>
    <s v="ORD500013"/>
    <s v="2025-02-06"/>
    <x v="1"/>
    <s v="ST015"/>
    <x v="2"/>
    <x v="2"/>
    <s v="Berlin"/>
    <s v="Iced Latte"/>
    <x v="0"/>
    <n v="2"/>
    <n v="5.05"/>
    <n v="10.1"/>
    <n v="0.15"/>
    <n v="1.52"/>
    <n v="8.58"/>
    <n v="3.6"/>
    <n v="4.9800000000000004"/>
    <x v="1"/>
    <x v="0"/>
    <s v="In-Store"/>
    <n v="5"/>
  </r>
  <r>
    <s v="ORD500109"/>
    <s v="2025-02-07"/>
    <x v="1"/>
    <s v="ST023"/>
    <x v="0"/>
    <x v="0"/>
    <s v="Bengaluru"/>
    <s v="Cappuccino"/>
    <x v="4"/>
    <n v="2"/>
    <n v="4.2300000000000004"/>
    <n v="8.4600000000000009"/>
    <n v="0"/>
    <n v="0"/>
    <n v="8.4600000000000009"/>
    <n v="3.06"/>
    <n v="5.4"/>
    <x v="1"/>
    <x v="1"/>
    <s v="In-Store"/>
    <n v="5"/>
  </r>
  <r>
    <s v="ORD500358"/>
    <s v="2025-02-08"/>
    <x v="1"/>
    <s v="ST009"/>
    <x v="4"/>
    <x v="2"/>
    <s v="London"/>
    <s v="Club Sandwich"/>
    <x v="1"/>
    <n v="1"/>
    <n v="7.48"/>
    <n v="7.48"/>
    <n v="0"/>
    <n v="0"/>
    <n v="7.48"/>
    <n v="2.71"/>
    <n v="4.7699999999999996"/>
    <x v="0"/>
    <x v="3"/>
    <s v="In-Store"/>
    <n v="5"/>
  </r>
  <r>
    <s v="ORD500375"/>
    <s v="2025-02-12"/>
    <x v="1"/>
    <s v="ST001"/>
    <x v="3"/>
    <x v="3"/>
    <s v="New York"/>
    <s v="Americano"/>
    <x v="4"/>
    <n v="2"/>
    <n v="3.87"/>
    <n v="7.74"/>
    <n v="0.05"/>
    <n v="0.39"/>
    <n v="7.35"/>
    <n v="2.5499999999999998"/>
    <n v="4.8"/>
    <x v="1"/>
    <x v="2"/>
    <s v="In-Store"/>
    <n v="5"/>
  </r>
  <r>
    <s v="ORD500159"/>
    <s v="2025-02-15"/>
    <x v="1"/>
    <s v="ST023"/>
    <x v="0"/>
    <x v="0"/>
    <s v="Bengaluru"/>
    <s v="Latte"/>
    <x v="4"/>
    <n v="2"/>
    <n v="4.28"/>
    <n v="8.56"/>
    <n v="0.05"/>
    <n v="0.43"/>
    <n v="8.1300000000000008"/>
    <n v="3.33"/>
    <n v="4.8"/>
    <x v="0"/>
    <x v="0"/>
    <s v="Mobile App"/>
    <n v="4"/>
  </r>
  <r>
    <s v="ORD500055"/>
    <s v="2025-02-15"/>
    <x v="1"/>
    <s v="ST002"/>
    <x v="3"/>
    <x v="3"/>
    <s v="New York"/>
    <s v="Tumbler"/>
    <x v="2"/>
    <n v="1"/>
    <n v="15.43"/>
    <n v="15.43"/>
    <n v="0"/>
    <n v="0"/>
    <n v="15.43"/>
    <n v="5.88"/>
    <n v="9.5500000000000007"/>
    <x v="2"/>
    <x v="2"/>
    <s v="Mobile App"/>
    <n v="5"/>
  </r>
  <r>
    <s v="ORD500467"/>
    <s v="2025-02-16"/>
    <x v="1"/>
    <s v="ST018"/>
    <x v="2"/>
    <x v="2"/>
    <s v="Hamburg"/>
    <s v="Tumbler"/>
    <x v="2"/>
    <n v="2"/>
    <n v="14.39"/>
    <n v="28.78"/>
    <n v="0"/>
    <n v="0"/>
    <n v="28.78"/>
    <n v="11.95"/>
    <n v="16.829999999999998"/>
    <x v="1"/>
    <x v="3"/>
    <s v="Drive-Thru"/>
    <n v="5"/>
  </r>
  <r>
    <s v="ORD500373"/>
    <s v="2025-02-16"/>
    <x v="1"/>
    <s v="ST013"/>
    <x v="4"/>
    <x v="2"/>
    <s v="Birmingham"/>
    <s v="Chocolate Chip Cookie"/>
    <x v="3"/>
    <n v="2"/>
    <n v="2.5099999999999998"/>
    <n v="5.0199999999999996"/>
    <n v="0"/>
    <n v="0"/>
    <n v="5.0199999999999996"/>
    <n v="1.84"/>
    <n v="3.18"/>
    <x v="1"/>
    <x v="2"/>
    <s v="Mobile App"/>
    <n v="5"/>
  </r>
  <r>
    <s v="ORD500371"/>
    <s v="2025-02-17"/>
    <x v="1"/>
    <s v="ST022"/>
    <x v="0"/>
    <x v="0"/>
    <s v="Bengaluru"/>
    <s v="Latte"/>
    <x v="4"/>
    <n v="1"/>
    <n v="4.59"/>
    <n v="4.59"/>
    <n v="0"/>
    <n v="0"/>
    <n v="4.59"/>
    <n v="1.85"/>
    <n v="2.74"/>
    <x v="0"/>
    <x v="2"/>
    <s v="Drive-Thru"/>
    <n v="3"/>
  </r>
  <r>
    <s v="ORD500316"/>
    <s v="2025-02-19"/>
    <x v="1"/>
    <s v="ST027"/>
    <x v="6"/>
    <x v="3"/>
    <s v="Vancouver"/>
    <s v="Croissant"/>
    <x v="3"/>
    <n v="2"/>
    <n v="3.05"/>
    <n v="6.1"/>
    <n v="0"/>
    <n v="0"/>
    <n v="6.1"/>
    <n v="2.0299999999999998"/>
    <n v="4.07"/>
    <x v="2"/>
    <x v="2"/>
    <s v="In-Store"/>
    <n v="5"/>
  </r>
  <r>
    <s v="ORD500289"/>
    <s v="2025-02-20"/>
    <x v="1"/>
    <s v="ST027"/>
    <x v="6"/>
    <x v="3"/>
    <s v="Vancouver"/>
    <s v="Ceramic Mug"/>
    <x v="2"/>
    <n v="1"/>
    <n v="8.83"/>
    <n v="8.83"/>
    <n v="0"/>
    <n v="0"/>
    <n v="8.83"/>
    <n v="3.44"/>
    <n v="5.39"/>
    <x v="0"/>
    <x v="2"/>
    <s v="Mobile App"/>
    <n v="3"/>
  </r>
  <r>
    <s v="ORD500205"/>
    <s v="2025-02-21"/>
    <x v="1"/>
    <s v="ST023"/>
    <x v="0"/>
    <x v="0"/>
    <s v="Bengaluru"/>
    <s v="Iced Tea"/>
    <x v="0"/>
    <n v="3"/>
    <n v="3.86"/>
    <n v="11.58"/>
    <n v="0"/>
    <n v="0"/>
    <n v="11.58"/>
    <n v="3.91"/>
    <n v="7.67"/>
    <x v="1"/>
    <x v="2"/>
    <s v="In-Store"/>
    <n v="5"/>
  </r>
  <r>
    <s v="ORD500386"/>
    <s v="2025-02-23"/>
    <x v="1"/>
    <s v="ST023"/>
    <x v="0"/>
    <x v="0"/>
    <s v="Bengaluru"/>
    <s v="Iced Tea"/>
    <x v="0"/>
    <n v="1"/>
    <n v="3.99"/>
    <n v="3.99"/>
    <n v="0"/>
    <n v="0"/>
    <n v="3.99"/>
    <n v="1.42"/>
    <n v="2.57"/>
    <x v="1"/>
    <x v="0"/>
    <s v="In-Store"/>
    <n v="5"/>
  </r>
  <r>
    <s v="ORD500333"/>
    <s v="2025-02-26"/>
    <x v="1"/>
    <s v="ST016"/>
    <x v="2"/>
    <x v="2"/>
    <s v="Munich"/>
    <s v="Cappuccino"/>
    <x v="4"/>
    <n v="2"/>
    <n v="4.0999999999999996"/>
    <n v="8.1999999999999993"/>
    <n v="0.05"/>
    <n v="0.41"/>
    <n v="7.79"/>
    <n v="2.85"/>
    <n v="4.9400000000000004"/>
    <x v="0"/>
    <x v="0"/>
    <s v="In-Store"/>
    <n v="4"/>
  </r>
  <r>
    <s v="ORD500092"/>
    <s v="2025-03-02"/>
    <x v="2"/>
    <s v="ST022"/>
    <x v="0"/>
    <x v="0"/>
    <s v="Bengaluru"/>
    <s v="Whole Bean Coffee 250g"/>
    <x v="2"/>
    <n v="4"/>
    <n v="12.33"/>
    <n v="49.32"/>
    <n v="0.15"/>
    <n v="7.4"/>
    <n v="41.92"/>
    <n v="14.11"/>
    <n v="27.81"/>
    <x v="0"/>
    <x v="2"/>
    <s v="Mobile App"/>
    <n v="5"/>
  </r>
  <r>
    <s v="ORD500337"/>
    <s v="2025-03-02"/>
    <x v="2"/>
    <s v="ST003"/>
    <x v="3"/>
    <x v="3"/>
    <s v="Los Angeles"/>
    <s v="Chocolate Chip Cookie"/>
    <x v="3"/>
    <n v="1"/>
    <n v="2.48"/>
    <n v="2.48"/>
    <n v="0"/>
    <n v="0"/>
    <n v="2.48"/>
    <n v="0.87"/>
    <n v="1.61"/>
    <x v="2"/>
    <x v="0"/>
    <s v="Mobile App"/>
    <n v="4"/>
  </r>
  <r>
    <s v="ORD500135"/>
    <s v="2025-03-04"/>
    <x v="2"/>
    <s v="ST015"/>
    <x v="2"/>
    <x v="2"/>
    <s v="Berlin"/>
    <s v="Whole Bean Coffee 250g"/>
    <x v="2"/>
    <n v="1"/>
    <n v="12.19"/>
    <n v="12.19"/>
    <n v="0"/>
    <n v="0"/>
    <n v="12.19"/>
    <n v="4.2"/>
    <n v="7.99"/>
    <x v="0"/>
    <x v="0"/>
    <s v="In-Store"/>
    <n v="5"/>
  </r>
  <r>
    <s v="ORD500204"/>
    <s v="2025-03-08"/>
    <x v="2"/>
    <s v="ST015"/>
    <x v="2"/>
    <x v="2"/>
    <s v="Berlin"/>
    <s v="Frappe"/>
    <x v="0"/>
    <n v="5"/>
    <n v="5.04"/>
    <n v="25.2"/>
    <n v="0"/>
    <n v="0"/>
    <n v="25.2"/>
    <n v="10.23"/>
    <n v="14.97"/>
    <x v="1"/>
    <x v="2"/>
    <s v="In-Store"/>
    <n v="4"/>
  </r>
  <r>
    <s v="ORD500190"/>
    <s v="2025-03-08"/>
    <x v="2"/>
    <s v="ST003"/>
    <x v="3"/>
    <x v="3"/>
    <s v="Los Angeles"/>
    <s v="Frappe"/>
    <x v="0"/>
    <n v="1"/>
    <n v="5.15"/>
    <n v="5.15"/>
    <n v="0"/>
    <n v="0"/>
    <n v="5.15"/>
    <n v="2.0699999999999998"/>
    <n v="3.08"/>
    <x v="0"/>
    <x v="3"/>
    <s v="In-Store"/>
    <n v="5"/>
  </r>
  <r>
    <s v="ORD500452"/>
    <s v="2025-03-10"/>
    <x v="2"/>
    <s v="ST020"/>
    <x v="0"/>
    <x v="0"/>
    <s v="Mumbai"/>
    <s v="Americano"/>
    <x v="4"/>
    <n v="1"/>
    <n v="3.99"/>
    <n v="3.99"/>
    <n v="0"/>
    <n v="0"/>
    <n v="3.99"/>
    <n v="1.42"/>
    <n v="2.57"/>
    <x v="0"/>
    <x v="3"/>
    <s v="In-Store"/>
    <n v="4"/>
  </r>
  <r>
    <s v="ORD500234"/>
    <s v="2025-03-12"/>
    <x v="2"/>
    <s v="ST007"/>
    <x v="3"/>
    <x v="3"/>
    <s v="Seattle"/>
    <s v="Espresso"/>
    <x v="4"/>
    <n v="1"/>
    <n v="3.59"/>
    <n v="3.59"/>
    <n v="0"/>
    <n v="0"/>
    <n v="3.59"/>
    <n v="1.27"/>
    <n v="2.3199999999999998"/>
    <x v="1"/>
    <x v="0"/>
    <s v="In-Store"/>
    <n v="5"/>
  </r>
  <r>
    <s v="ORD500221"/>
    <s v="2025-03-13"/>
    <x v="2"/>
    <s v="ST001"/>
    <x v="3"/>
    <x v="3"/>
    <s v="New York"/>
    <s v="Whole Bean Coffee 250g"/>
    <x v="2"/>
    <n v="1"/>
    <n v="12.86"/>
    <n v="12.86"/>
    <n v="0"/>
    <n v="0"/>
    <n v="12.86"/>
    <n v="4.84"/>
    <n v="8.02"/>
    <x v="1"/>
    <x v="2"/>
    <s v="Mobile App"/>
    <n v="5"/>
  </r>
  <r>
    <s v="ORD500465"/>
    <s v="2025-03-14"/>
    <x v="2"/>
    <s v="ST003"/>
    <x v="3"/>
    <x v="3"/>
    <s v="Los Angeles"/>
    <s v="Blueberry Muffin"/>
    <x v="3"/>
    <n v="1"/>
    <n v="3.4"/>
    <n v="3.4"/>
    <n v="0.05"/>
    <n v="0.17"/>
    <n v="3.23"/>
    <n v="1.1299999999999999"/>
    <n v="2.1"/>
    <x v="1"/>
    <x v="2"/>
    <s v="In-Store"/>
    <n v="3"/>
  </r>
  <r>
    <s v="ORD500277"/>
    <s v="2025-03-14"/>
    <x v="2"/>
    <s v="ST008"/>
    <x v="3"/>
    <x v="3"/>
    <s v="Seattle"/>
    <s v="Ceramic Mug"/>
    <x v="2"/>
    <n v="1"/>
    <n v="8.8800000000000008"/>
    <n v="8.8800000000000008"/>
    <n v="0.05"/>
    <n v="0.44"/>
    <n v="8.44"/>
    <n v="3.34"/>
    <n v="5.0999999999999996"/>
    <x v="1"/>
    <x v="1"/>
    <s v="Drive-Thru"/>
    <n v="5"/>
  </r>
  <r>
    <s v="ORD500496"/>
    <s v="2025-03-17"/>
    <x v="2"/>
    <s v="ST013"/>
    <x v="4"/>
    <x v="2"/>
    <s v="Birmingham"/>
    <s v="Avocado Toast"/>
    <x v="1"/>
    <n v="3"/>
    <n v="6.33"/>
    <n v="18.989999999999998"/>
    <n v="0"/>
    <n v="0"/>
    <n v="18.989999999999998"/>
    <n v="6.77"/>
    <n v="12.22"/>
    <x v="1"/>
    <x v="3"/>
    <s v="Mobile App"/>
    <n v="5"/>
  </r>
  <r>
    <s v="ORD500262"/>
    <s v="2025-03-20"/>
    <x v="2"/>
    <s v="ST001"/>
    <x v="3"/>
    <x v="3"/>
    <s v="New York"/>
    <s v="Mocha"/>
    <x v="4"/>
    <n v="2"/>
    <n v="4.83"/>
    <n v="9.66"/>
    <n v="0.1"/>
    <n v="0.97"/>
    <n v="8.69"/>
    <n v="3.29"/>
    <n v="5.4"/>
    <x v="1"/>
    <x v="2"/>
    <s v="Mobile App"/>
    <n v="3"/>
  </r>
  <r>
    <s v="ORD500428"/>
    <s v="2025-03-21"/>
    <x v="2"/>
    <s v="ST022"/>
    <x v="0"/>
    <x v="0"/>
    <s v="Bengaluru"/>
    <s v="Granola Bowl"/>
    <x v="1"/>
    <n v="2"/>
    <n v="6.82"/>
    <n v="13.64"/>
    <n v="0.05"/>
    <n v="0.68"/>
    <n v="12.96"/>
    <n v="4.8899999999999997"/>
    <n v="8.07"/>
    <x v="0"/>
    <x v="2"/>
    <s v="Mobile App"/>
    <n v="5"/>
  </r>
  <r>
    <s v="ORD500323"/>
    <s v="2025-03-22"/>
    <x v="2"/>
    <s v="ST019"/>
    <x v="0"/>
    <x v="0"/>
    <s v="Mumbai"/>
    <s v="Americano"/>
    <x v="4"/>
    <n v="4"/>
    <n v="3.77"/>
    <n v="15.08"/>
    <n v="0"/>
    <n v="0"/>
    <n v="15.08"/>
    <n v="5.69"/>
    <n v="9.39"/>
    <x v="0"/>
    <x v="0"/>
    <s v="In-Store"/>
    <n v="3"/>
  </r>
  <r>
    <s v="ORD500050"/>
    <s v="2025-03-23"/>
    <x v="2"/>
    <s v="ST011"/>
    <x v="4"/>
    <x v="2"/>
    <s v="Manchester"/>
    <s v="Iced Tea"/>
    <x v="0"/>
    <n v="1"/>
    <n v="3.85"/>
    <n v="3.85"/>
    <n v="0.05"/>
    <n v="0.19"/>
    <n v="3.66"/>
    <n v="1.36"/>
    <n v="2.2999999999999998"/>
    <x v="0"/>
    <x v="1"/>
    <s v="In-Store"/>
    <n v="5"/>
  </r>
  <r>
    <s v="ORD500143"/>
    <s v="2025-03-24"/>
    <x v="2"/>
    <s v="ST020"/>
    <x v="0"/>
    <x v="0"/>
    <s v="Mumbai"/>
    <s v="Iced Latte"/>
    <x v="0"/>
    <n v="1"/>
    <n v="4.83"/>
    <n v="4.83"/>
    <n v="0.15"/>
    <n v="0.72"/>
    <n v="4.1100000000000003"/>
    <n v="1.59"/>
    <n v="2.52"/>
    <x v="0"/>
    <x v="0"/>
    <s v="Drive-Thru"/>
    <n v="4"/>
  </r>
  <r>
    <s v="ORD500104"/>
    <s v="2025-03-27"/>
    <x v="2"/>
    <s v="ST002"/>
    <x v="3"/>
    <x v="3"/>
    <s v="New York"/>
    <s v="Espresso"/>
    <x v="4"/>
    <n v="1"/>
    <n v="3.51"/>
    <n v="3.51"/>
    <n v="0.05"/>
    <n v="0.18"/>
    <n v="3.33"/>
    <n v="1.2"/>
    <n v="2.13"/>
    <x v="1"/>
    <x v="1"/>
    <s v="In-Store"/>
    <n v="5"/>
  </r>
  <r>
    <s v="ORD500024"/>
    <s v="2025-03-29"/>
    <x v="2"/>
    <s v="ST002"/>
    <x v="3"/>
    <x v="3"/>
    <s v="New York"/>
    <s v="Iced Latte"/>
    <x v="0"/>
    <n v="3"/>
    <n v="4.6900000000000004"/>
    <n v="14.07"/>
    <n v="0"/>
    <n v="0"/>
    <n v="14.07"/>
    <n v="5.43"/>
    <n v="8.64"/>
    <x v="1"/>
    <x v="0"/>
    <s v="Mobile App"/>
    <n v="5"/>
  </r>
  <r>
    <s v="ORD500410"/>
    <s v="2025-03-29"/>
    <x v="2"/>
    <s v="ST026"/>
    <x v="6"/>
    <x v="3"/>
    <s v="Toronto"/>
    <s v="Americano"/>
    <x v="4"/>
    <n v="2"/>
    <n v="3.88"/>
    <n v="7.76"/>
    <n v="0"/>
    <n v="0"/>
    <n v="7.76"/>
    <n v="3.22"/>
    <n v="4.54"/>
    <x v="1"/>
    <x v="1"/>
    <s v="In-Store"/>
    <n v="4"/>
  </r>
  <r>
    <s v="ORD500263"/>
    <s v="2025-03-30"/>
    <x v="2"/>
    <s v="ST020"/>
    <x v="0"/>
    <x v="0"/>
    <s v="Mumbai"/>
    <s v="Frappe"/>
    <x v="0"/>
    <n v="4"/>
    <n v="5.38"/>
    <n v="21.52"/>
    <n v="0"/>
    <n v="0"/>
    <n v="21.52"/>
    <n v="8.19"/>
    <n v="13.33"/>
    <x v="1"/>
    <x v="3"/>
    <s v="In-Store"/>
    <n v="4"/>
  </r>
  <r>
    <s v="ORD500155"/>
    <s v="2025-03-31"/>
    <x v="2"/>
    <s v="ST012"/>
    <x v="4"/>
    <x v="2"/>
    <s v="Manchester"/>
    <s v="Blueberry Muffin"/>
    <x v="3"/>
    <n v="3"/>
    <n v="3.29"/>
    <n v="9.8699999999999992"/>
    <n v="0"/>
    <n v="0"/>
    <n v="9.8699999999999992"/>
    <n v="3.41"/>
    <n v="6.46"/>
    <x v="0"/>
    <x v="2"/>
    <s v="In-Store"/>
    <n v="5"/>
  </r>
  <r>
    <s v="ORD500456"/>
    <s v="2025-04-02"/>
    <x v="3"/>
    <s v="ST022"/>
    <x v="0"/>
    <x v="0"/>
    <s v="Bengaluru"/>
    <s v="Blueberry Muffin"/>
    <x v="3"/>
    <n v="2"/>
    <n v="3.27"/>
    <n v="6.54"/>
    <n v="0"/>
    <n v="0"/>
    <n v="6.54"/>
    <n v="2.74"/>
    <n v="3.8"/>
    <x v="1"/>
    <x v="2"/>
    <s v="Drive-Thru"/>
    <n v="5"/>
  </r>
  <r>
    <s v="ORD500310"/>
    <s v="2025-04-03"/>
    <x v="3"/>
    <s v="ST019"/>
    <x v="0"/>
    <x v="0"/>
    <s v="Mumbai"/>
    <s v="Club Sandwich"/>
    <x v="1"/>
    <n v="1"/>
    <n v="7.86"/>
    <n v="7.86"/>
    <n v="0.1"/>
    <n v="0.79"/>
    <n v="7.07"/>
    <n v="2.81"/>
    <n v="4.26"/>
    <x v="0"/>
    <x v="0"/>
    <s v="Drive-Thru"/>
    <n v="5"/>
  </r>
  <r>
    <s v="ORD500078"/>
    <s v="2025-04-03"/>
    <x v="3"/>
    <s v="ST009"/>
    <x v="4"/>
    <x v="2"/>
    <s v="London"/>
    <s v="Chocolate Chip Cookie"/>
    <x v="3"/>
    <n v="3"/>
    <n v="2.38"/>
    <n v="7.14"/>
    <n v="0"/>
    <n v="0"/>
    <n v="7.14"/>
    <n v="2.4900000000000002"/>
    <n v="4.6500000000000004"/>
    <x v="0"/>
    <x v="0"/>
    <s v="In-Store"/>
    <n v="5"/>
  </r>
  <r>
    <s v="ORD500385"/>
    <s v="2025-04-03"/>
    <x v="3"/>
    <s v="ST012"/>
    <x v="4"/>
    <x v="2"/>
    <s v="Manchester"/>
    <s v="Americano"/>
    <x v="4"/>
    <n v="2"/>
    <n v="3.9"/>
    <n v="7.8"/>
    <n v="0.05"/>
    <n v="0.39"/>
    <n v="7.41"/>
    <n v="2.84"/>
    <n v="4.57"/>
    <x v="0"/>
    <x v="2"/>
    <s v="In-Store"/>
    <n v="3"/>
  </r>
  <r>
    <s v="ORD500335"/>
    <s v="2025-04-04"/>
    <x v="3"/>
    <s v="ST025"/>
    <x v="5"/>
    <x v="0"/>
    <s v="Melbourne"/>
    <s v="Chocolate Chip Cookie"/>
    <x v="3"/>
    <n v="1"/>
    <n v="2.42"/>
    <n v="2.42"/>
    <n v="0.1"/>
    <n v="0.24"/>
    <n v="2.1800000000000002"/>
    <n v="0.85"/>
    <n v="1.33"/>
    <x v="2"/>
    <x v="0"/>
    <s v="In-Store"/>
    <n v="3"/>
  </r>
  <r>
    <s v="ORD500211"/>
    <s v="2025-04-05"/>
    <x v="3"/>
    <s v="ST010"/>
    <x v="4"/>
    <x v="2"/>
    <s v="London"/>
    <s v="Tumbler"/>
    <x v="2"/>
    <n v="2"/>
    <n v="15.19"/>
    <n v="30.38"/>
    <n v="0"/>
    <n v="0"/>
    <n v="30.38"/>
    <n v="11.39"/>
    <n v="18.989999999999998"/>
    <x v="1"/>
    <x v="1"/>
    <s v="In-Store"/>
    <n v="3"/>
  </r>
  <r>
    <s v="ORD500275"/>
    <s v="2025-04-05"/>
    <x v="3"/>
    <s v="ST028"/>
    <x v="1"/>
    <x v="1"/>
    <s v="Dubai"/>
    <s v="Club Sandwich"/>
    <x v="1"/>
    <n v="5"/>
    <n v="8.08"/>
    <n v="40.4"/>
    <n v="0.1"/>
    <n v="4.04"/>
    <n v="36.36"/>
    <n v="11.8"/>
    <n v="24.56"/>
    <x v="0"/>
    <x v="3"/>
    <s v="In-Store"/>
    <n v="4"/>
  </r>
  <r>
    <s v="ORD500084"/>
    <s v="2025-04-06"/>
    <x v="3"/>
    <s v="ST017"/>
    <x v="2"/>
    <x v="2"/>
    <s v="Munich"/>
    <s v="Granola Bowl"/>
    <x v="1"/>
    <n v="3"/>
    <n v="6.67"/>
    <n v="20.010000000000002"/>
    <n v="0"/>
    <n v="0"/>
    <n v="20.010000000000002"/>
    <n v="7.86"/>
    <n v="12.15"/>
    <x v="2"/>
    <x v="0"/>
    <s v="Mobile App"/>
    <n v="4"/>
  </r>
  <r>
    <s v="ORD500215"/>
    <s v="2025-04-06"/>
    <x v="3"/>
    <s v="ST024"/>
    <x v="5"/>
    <x v="0"/>
    <s v="Sydney"/>
    <s v="Americano"/>
    <x v="4"/>
    <n v="4"/>
    <n v="3.93"/>
    <n v="15.72"/>
    <n v="0"/>
    <n v="0"/>
    <n v="15.72"/>
    <n v="6.06"/>
    <n v="9.66"/>
    <x v="1"/>
    <x v="0"/>
    <s v="In-Store"/>
    <n v="4"/>
  </r>
  <r>
    <s v="ORD500485"/>
    <s v="2025-04-06"/>
    <x v="3"/>
    <s v="ST008"/>
    <x v="3"/>
    <x v="3"/>
    <s v="Seattle"/>
    <s v="Espresso"/>
    <x v="4"/>
    <n v="1"/>
    <n v="3.56"/>
    <n v="3.56"/>
    <n v="0"/>
    <n v="0"/>
    <n v="3.56"/>
    <n v="1.36"/>
    <n v="2.2000000000000002"/>
    <x v="1"/>
    <x v="0"/>
    <s v="Mobile App"/>
    <n v="4"/>
  </r>
  <r>
    <s v="ORD500319"/>
    <s v="2025-04-09"/>
    <x v="3"/>
    <s v="ST005"/>
    <x v="3"/>
    <x v="3"/>
    <s v="Chicago"/>
    <s v="Latte"/>
    <x v="4"/>
    <n v="2"/>
    <n v="4.4000000000000004"/>
    <n v="8.8000000000000007"/>
    <n v="0.1"/>
    <n v="0.88"/>
    <n v="7.92"/>
    <n v="2.79"/>
    <n v="5.13"/>
    <x v="1"/>
    <x v="3"/>
    <s v="Drive-Thru"/>
    <n v="4"/>
  </r>
  <r>
    <s v="ORD500161"/>
    <s v="2025-04-11"/>
    <x v="3"/>
    <s v="ST022"/>
    <x v="0"/>
    <x v="0"/>
    <s v="Bengaluru"/>
    <s v="Caesar Salad"/>
    <x v="1"/>
    <n v="1"/>
    <n v="7.86"/>
    <n v="7.86"/>
    <n v="0"/>
    <n v="0"/>
    <n v="7.86"/>
    <n v="2.76"/>
    <n v="5.0999999999999996"/>
    <x v="0"/>
    <x v="2"/>
    <s v="In-Store"/>
    <n v="4"/>
  </r>
  <r>
    <s v="ORD500219"/>
    <s v="2025-04-11"/>
    <x v="3"/>
    <s v="ST014"/>
    <x v="4"/>
    <x v="2"/>
    <s v="Birmingham"/>
    <s v="Frappe"/>
    <x v="0"/>
    <n v="2"/>
    <n v="5.33"/>
    <n v="10.66"/>
    <n v="0"/>
    <n v="0"/>
    <n v="10.66"/>
    <n v="4.38"/>
    <n v="6.28"/>
    <x v="1"/>
    <x v="0"/>
    <s v="In-Store"/>
    <n v="5"/>
  </r>
  <r>
    <s v="ORD500027"/>
    <s v="2025-04-13"/>
    <x v="3"/>
    <s v="ST003"/>
    <x v="3"/>
    <x v="3"/>
    <s v="Los Angeles"/>
    <s v="Cappuccino"/>
    <x v="4"/>
    <n v="2"/>
    <n v="4.37"/>
    <n v="8.74"/>
    <n v="0"/>
    <n v="0"/>
    <n v="8.74"/>
    <n v="3.51"/>
    <n v="5.23"/>
    <x v="0"/>
    <x v="2"/>
    <s v="In-Store"/>
    <n v="3"/>
  </r>
  <r>
    <s v="ORD500206"/>
    <s v="2025-04-13"/>
    <x v="3"/>
    <s v="ST007"/>
    <x v="3"/>
    <x v="3"/>
    <s v="Seattle"/>
    <s v="Ceramic Mug"/>
    <x v="2"/>
    <n v="1"/>
    <n v="9.27"/>
    <n v="9.27"/>
    <n v="0"/>
    <n v="0"/>
    <n v="9.27"/>
    <n v="3.42"/>
    <n v="5.85"/>
    <x v="1"/>
    <x v="2"/>
    <s v="Drive-Thru"/>
    <n v="5"/>
  </r>
  <r>
    <s v="ORD500111"/>
    <s v="2025-04-14"/>
    <x v="3"/>
    <s v="ST018"/>
    <x v="2"/>
    <x v="2"/>
    <s v="Hamburg"/>
    <s v="Iced Tea"/>
    <x v="0"/>
    <n v="2"/>
    <n v="3.75"/>
    <n v="7.5"/>
    <n v="0"/>
    <n v="0"/>
    <n v="7.5"/>
    <n v="3.01"/>
    <n v="4.49"/>
    <x v="0"/>
    <x v="2"/>
    <s v="Mobile App"/>
    <n v="5"/>
  </r>
  <r>
    <s v="ORD500423"/>
    <s v="2025-04-15"/>
    <x v="3"/>
    <s v="ST014"/>
    <x v="4"/>
    <x v="2"/>
    <s v="Birmingham"/>
    <s v="Ceramic Mug"/>
    <x v="2"/>
    <n v="4"/>
    <n v="8.99"/>
    <n v="35.96"/>
    <n v="0.15"/>
    <n v="5.39"/>
    <n v="30.57"/>
    <n v="12.49"/>
    <n v="18.079999999999998"/>
    <x v="1"/>
    <x v="0"/>
    <s v="Mobile App"/>
    <n v="5"/>
  </r>
  <r>
    <s v="ORD500328"/>
    <s v="2025-04-17"/>
    <x v="3"/>
    <s v="ST020"/>
    <x v="0"/>
    <x v="0"/>
    <s v="Mumbai"/>
    <s v="Caesar Salad"/>
    <x v="1"/>
    <n v="2"/>
    <n v="8.44"/>
    <n v="16.88"/>
    <n v="0"/>
    <n v="0"/>
    <n v="16.88"/>
    <n v="6.29"/>
    <n v="10.59"/>
    <x v="0"/>
    <x v="2"/>
    <s v="In-Store"/>
    <n v="4"/>
  </r>
  <r>
    <s v="ORD500236"/>
    <s v="2025-04-17"/>
    <x v="3"/>
    <s v="ST001"/>
    <x v="3"/>
    <x v="3"/>
    <s v="New York"/>
    <s v="Granola Bowl"/>
    <x v="1"/>
    <n v="3"/>
    <n v="6.67"/>
    <n v="20.010000000000002"/>
    <n v="0"/>
    <n v="0"/>
    <n v="20.010000000000002"/>
    <n v="7.51"/>
    <n v="12.5"/>
    <x v="2"/>
    <x v="3"/>
    <s v="Mobile App"/>
    <n v="3"/>
  </r>
  <r>
    <s v="ORD500247"/>
    <s v="2025-04-17"/>
    <x v="3"/>
    <s v="ST028"/>
    <x v="1"/>
    <x v="1"/>
    <s v="Dubai"/>
    <s v="Blueberry Muffin"/>
    <x v="3"/>
    <n v="4"/>
    <n v="3.25"/>
    <n v="13"/>
    <n v="0.05"/>
    <n v="0.65"/>
    <n v="12.35"/>
    <n v="4.5199999999999996"/>
    <n v="7.83"/>
    <x v="2"/>
    <x v="0"/>
    <s v="Mobile App"/>
    <n v="4"/>
  </r>
  <r>
    <s v="ORD500479"/>
    <s v="2025-04-18"/>
    <x v="3"/>
    <s v="ST006"/>
    <x v="3"/>
    <x v="3"/>
    <s v="Houston"/>
    <s v="Tumbler"/>
    <x v="2"/>
    <n v="1"/>
    <n v="14.39"/>
    <n v="14.39"/>
    <n v="0"/>
    <n v="0"/>
    <n v="14.39"/>
    <n v="4.9000000000000004"/>
    <n v="9.49"/>
    <x v="0"/>
    <x v="3"/>
    <s v="Drive-Thru"/>
    <n v="4"/>
  </r>
  <r>
    <s v="ORD500189"/>
    <s v="2025-04-20"/>
    <x v="3"/>
    <s v="ST009"/>
    <x v="4"/>
    <x v="2"/>
    <s v="London"/>
    <s v="Iced Tea"/>
    <x v="0"/>
    <n v="2"/>
    <n v="3.8"/>
    <n v="7.6"/>
    <n v="0"/>
    <n v="0"/>
    <n v="7.6"/>
    <n v="2.86"/>
    <n v="4.74"/>
    <x v="1"/>
    <x v="1"/>
    <s v="In-Store"/>
    <n v="5"/>
  </r>
  <r>
    <s v="ORD500424"/>
    <s v="2025-04-24"/>
    <x v="3"/>
    <s v="ST021"/>
    <x v="0"/>
    <x v="0"/>
    <s v="Delhi"/>
    <s v="Latte"/>
    <x v="4"/>
    <n v="2"/>
    <n v="4.68"/>
    <n v="9.36"/>
    <n v="0"/>
    <n v="0"/>
    <n v="9.36"/>
    <n v="3.18"/>
    <n v="6.18"/>
    <x v="1"/>
    <x v="1"/>
    <s v="In-Store"/>
    <n v="4"/>
  </r>
  <r>
    <s v="ORD500338"/>
    <s v="2025-04-24"/>
    <x v="3"/>
    <s v="ST027"/>
    <x v="6"/>
    <x v="3"/>
    <s v="Vancouver"/>
    <s v="Avocado Toast"/>
    <x v="1"/>
    <n v="1"/>
    <n v="6.44"/>
    <n v="6.44"/>
    <n v="0"/>
    <n v="0"/>
    <n v="6.44"/>
    <n v="2.4900000000000002"/>
    <n v="3.95"/>
    <x v="0"/>
    <x v="2"/>
    <s v="Mobile App"/>
    <n v="5"/>
  </r>
  <r>
    <s v="ORD500058"/>
    <s v="2025-04-26"/>
    <x v="3"/>
    <s v="ST020"/>
    <x v="0"/>
    <x v="0"/>
    <s v="Mumbai"/>
    <s v="Chocolate Chip Cookie"/>
    <x v="3"/>
    <n v="1"/>
    <n v="2.56"/>
    <n v="2.56"/>
    <n v="0"/>
    <n v="0"/>
    <n v="2.56"/>
    <n v="0.84"/>
    <n v="1.72"/>
    <x v="0"/>
    <x v="1"/>
    <s v="In-Store"/>
    <n v="3"/>
  </r>
  <r>
    <s v="ORD500001"/>
    <s v="2025-04-26"/>
    <x v="3"/>
    <s v="ST019"/>
    <x v="0"/>
    <x v="0"/>
    <s v="Mumbai"/>
    <s v="Iced Tea"/>
    <x v="0"/>
    <n v="3"/>
    <n v="3.76"/>
    <n v="11.28"/>
    <n v="0"/>
    <n v="0"/>
    <n v="11.28"/>
    <n v="4.3499999999999996"/>
    <n v="6.93"/>
    <x v="0"/>
    <x v="3"/>
    <s v="In-Store"/>
    <n v="3"/>
  </r>
  <r>
    <s v="ORD500112"/>
    <s v="2025-04-28"/>
    <x v="3"/>
    <s v="ST030"/>
    <x v="1"/>
    <x v="1"/>
    <s v="Abu Dhabi"/>
    <s v="Iced Latte"/>
    <x v="0"/>
    <n v="3"/>
    <n v="4.66"/>
    <n v="13.98"/>
    <n v="0.1"/>
    <n v="1.4"/>
    <n v="12.58"/>
    <n v="4.96"/>
    <n v="7.62"/>
    <x v="2"/>
    <x v="3"/>
    <s v="Mobile App"/>
    <n v="4"/>
  </r>
  <r>
    <s v="ORD500098"/>
    <s v="2025-04-28"/>
    <x v="3"/>
    <s v="ST016"/>
    <x v="2"/>
    <x v="2"/>
    <s v="Munich"/>
    <s v="Ceramic Mug"/>
    <x v="2"/>
    <n v="4"/>
    <n v="8.9499999999999993"/>
    <n v="35.799999999999997"/>
    <n v="0"/>
    <n v="0"/>
    <n v="35.799999999999997"/>
    <n v="11.55"/>
    <n v="24.25"/>
    <x v="0"/>
    <x v="3"/>
    <s v="In-Store"/>
    <n v="4"/>
  </r>
  <r>
    <s v="ORD500154"/>
    <s v="2025-04-28"/>
    <x v="3"/>
    <s v="ST029"/>
    <x v="1"/>
    <x v="1"/>
    <s v="Dubai"/>
    <s v="Cold Brew"/>
    <x v="0"/>
    <n v="2"/>
    <n v="4.75"/>
    <n v="9.5"/>
    <n v="0.15"/>
    <n v="1.42"/>
    <n v="8.08"/>
    <n v="3.14"/>
    <n v="4.9400000000000004"/>
    <x v="0"/>
    <x v="3"/>
    <s v="Drive-Thru"/>
    <n v="4"/>
  </r>
  <r>
    <s v="ORD500354"/>
    <s v="2025-05-02"/>
    <x v="4"/>
    <s v="ST014"/>
    <x v="4"/>
    <x v="2"/>
    <s v="Birmingham"/>
    <s v="Iced Latte"/>
    <x v="0"/>
    <n v="1"/>
    <n v="4.84"/>
    <n v="4.84"/>
    <n v="0.05"/>
    <n v="0.24"/>
    <n v="4.5999999999999996"/>
    <n v="1.77"/>
    <n v="2.83"/>
    <x v="0"/>
    <x v="1"/>
    <s v="Drive-Thru"/>
    <n v="5"/>
  </r>
  <r>
    <s v="ORD500131"/>
    <s v="2025-05-03"/>
    <x v="4"/>
    <s v="ST030"/>
    <x v="1"/>
    <x v="1"/>
    <s v="Abu Dhabi"/>
    <s v="Cappuccino"/>
    <x v="4"/>
    <n v="1"/>
    <n v="4.1100000000000003"/>
    <n v="4.1100000000000003"/>
    <n v="0.15"/>
    <n v="0.62"/>
    <n v="3.49"/>
    <n v="1.24"/>
    <n v="2.25"/>
    <x v="0"/>
    <x v="0"/>
    <s v="In-Store"/>
    <n v="5"/>
  </r>
  <r>
    <s v="ORD500340"/>
    <s v="2025-05-04"/>
    <x v="4"/>
    <s v="ST017"/>
    <x v="2"/>
    <x v="2"/>
    <s v="Munich"/>
    <s v="Granola Bowl"/>
    <x v="1"/>
    <n v="2"/>
    <n v="6.59"/>
    <n v="13.18"/>
    <n v="0"/>
    <n v="0"/>
    <n v="13.18"/>
    <n v="4.51"/>
    <n v="8.67"/>
    <x v="2"/>
    <x v="2"/>
    <s v="In-Store"/>
    <n v="4"/>
  </r>
  <r>
    <s v="ORD500069"/>
    <s v="2025-05-06"/>
    <x v="4"/>
    <s v="ST010"/>
    <x v="4"/>
    <x v="2"/>
    <s v="London"/>
    <s v="Granola Bowl"/>
    <x v="1"/>
    <n v="1"/>
    <n v="6.72"/>
    <n v="6.72"/>
    <n v="0"/>
    <n v="0"/>
    <n v="6.72"/>
    <n v="2.82"/>
    <n v="3.9"/>
    <x v="0"/>
    <x v="0"/>
    <s v="In-Store"/>
    <n v="5"/>
  </r>
  <r>
    <s v="ORD500297"/>
    <s v="2025-05-07"/>
    <x v="4"/>
    <s v="ST007"/>
    <x v="3"/>
    <x v="3"/>
    <s v="Seattle"/>
    <s v="Avocado Toast"/>
    <x v="1"/>
    <n v="1"/>
    <n v="6.77"/>
    <n v="6.77"/>
    <n v="0"/>
    <n v="0"/>
    <n v="6.77"/>
    <n v="2.73"/>
    <n v="4.04"/>
    <x v="1"/>
    <x v="2"/>
    <s v="In-Store"/>
    <n v="5"/>
  </r>
  <r>
    <s v="ORD500021"/>
    <s v="2025-05-09"/>
    <x v="4"/>
    <s v="ST030"/>
    <x v="1"/>
    <x v="1"/>
    <s v="Abu Dhabi"/>
    <s v="Frappe"/>
    <x v="0"/>
    <n v="1"/>
    <n v="5.01"/>
    <n v="5.01"/>
    <n v="0"/>
    <n v="0"/>
    <n v="5.01"/>
    <n v="1.8"/>
    <n v="3.21"/>
    <x v="1"/>
    <x v="3"/>
    <s v="In-Store"/>
    <n v="3"/>
  </r>
  <r>
    <s v="ORD500169"/>
    <s v="2025-05-10"/>
    <x v="4"/>
    <s v="ST004"/>
    <x v="3"/>
    <x v="3"/>
    <s v="Chicago"/>
    <s v="Tumbler"/>
    <x v="2"/>
    <n v="1"/>
    <n v="14.37"/>
    <n v="14.37"/>
    <n v="0.05"/>
    <n v="0.72"/>
    <n v="13.65"/>
    <n v="4.96"/>
    <n v="8.69"/>
    <x v="1"/>
    <x v="1"/>
    <s v="Drive-Thru"/>
    <n v="4"/>
  </r>
  <r>
    <s v="ORD500320"/>
    <s v="2025-05-12"/>
    <x v="4"/>
    <s v="ST013"/>
    <x v="4"/>
    <x v="2"/>
    <s v="Birmingham"/>
    <s v="Cappuccino"/>
    <x v="4"/>
    <n v="2"/>
    <n v="4.22"/>
    <n v="8.44"/>
    <n v="0"/>
    <n v="0"/>
    <n v="8.44"/>
    <n v="3.51"/>
    <n v="4.93"/>
    <x v="1"/>
    <x v="3"/>
    <s v="Mobile App"/>
    <n v="4"/>
  </r>
  <r>
    <s v="ORD500233"/>
    <s v="2025-05-13"/>
    <x v="4"/>
    <s v="ST009"/>
    <x v="4"/>
    <x v="2"/>
    <s v="London"/>
    <s v="Avocado Toast"/>
    <x v="1"/>
    <n v="3"/>
    <n v="6.6"/>
    <n v="19.8"/>
    <n v="0"/>
    <n v="0"/>
    <n v="19.8"/>
    <n v="6.77"/>
    <n v="13.03"/>
    <x v="1"/>
    <x v="1"/>
    <s v="Mobile App"/>
    <n v="4"/>
  </r>
  <r>
    <s v="ORD500239"/>
    <s v="2025-05-14"/>
    <x v="4"/>
    <s v="ST012"/>
    <x v="4"/>
    <x v="2"/>
    <s v="Manchester"/>
    <s v="Blueberry Muffin"/>
    <x v="3"/>
    <n v="1"/>
    <n v="3.57"/>
    <n v="3.57"/>
    <n v="0"/>
    <n v="0"/>
    <n v="3.57"/>
    <n v="1.29"/>
    <n v="2.2799999999999998"/>
    <x v="2"/>
    <x v="0"/>
    <s v="In-Store"/>
    <n v="5"/>
  </r>
  <r>
    <s v="ORD500103"/>
    <s v="2025-05-17"/>
    <x v="4"/>
    <s v="ST001"/>
    <x v="3"/>
    <x v="3"/>
    <s v="New York"/>
    <s v="Croissant"/>
    <x v="3"/>
    <n v="2"/>
    <n v="3.33"/>
    <n v="6.66"/>
    <n v="0"/>
    <n v="0"/>
    <n v="6.66"/>
    <n v="2.65"/>
    <n v="4.01"/>
    <x v="0"/>
    <x v="2"/>
    <s v="In-Store"/>
    <n v="5"/>
  </r>
  <r>
    <s v="ORD500395"/>
    <s v="2025-05-19"/>
    <x v="4"/>
    <s v="ST027"/>
    <x v="6"/>
    <x v="3"/>
    <s v="Vancouver"/>
    <s v="Americano"/>
    <x v="4"/>
    <n v="1"/>
    <n v="3.94"/>
    <n v="3.94"/>
    <n v="0"/>
    <n v="0"/>
    <n v="3.94"/>
    <n v="1.56"/>
    <n v="2.38"/>
    <x v="0"/>
    <x v="3"/>
    <s v="In-Store"/>
    <n v="4"/>
  </r>
  <r>
    <s v="ORD500458"/>
    <s v="2025-05-20"/>
    <x v="4"/>
    <s v="ST008"/>
    <x v="3"/>
    <x v="3"/>
    <s v="Seattle"/>
    <s v="Tumbler"/>
    <x v="2"/>
    <n v="2"/>
    <n v="14.54"/>
    <n v="29.08"/>
    <n v="0"/>
    <n v="0"/>
    <n v="29.08"/>
    <n v="10.01"/>
    <n v="19.07"/>
    <x v="1"/>
    <x v="0"/>
    <s v="In-Store"/>
    <n v="5"/>
  </r>
  <r>
    <s v="ORD500265"/>
    <s v="2025-05-23"/>
    <x v="4"/>
    <s v="ST030"/>
    <x v="1"/>
    <x v="1"/>
    <s v="Abu Dhabi"/>
    <s v="Espresso"/>
    <x v="4"/>
    <n v="4"/>
    <n v="3.57"/>
    <n v="14.28"/>
    <n v="0"/>
    <n v="0"/>
    <n v="14.28"/>
    <n v="5.42"/>
    <n v="8.86"/>
    <x v="1"/>
    <x v="0"/>
    <s v="In-Store"/>
    <n v="4"/>
  </r>
  <r>
    <s v="ORD500138"/>
    <s v="2025-05-23"/>
    <x v="4"/>
    <s v="ST020"/>
    <x v="0"/>
    <x v="0"/>
    <s v="Mumbai"/>
    <s v="Avocado Toast"/>
    <x v="1"/>
    <n v="3"/>
    <n v="6.4"/>
    <n v="19.2"/>
    <n v="0.1"/>
    <n v="1.92"/>
    <n v="17.28"/>
    <n v="5.99"/>
    <n v="11.29"/>
    <x v="1"/>
    <x v="0"/>
    <s v="In-Store"/>
    <n v="5"/>
  </r>
  <r>
    <s v="ORD500484"/>
    <s v="2025-05-26"/>
    <x v="4"/>
    <s v="ST013"/>
    <x v="4"/>
    <x v="2"/>
    <s v="Birmingham"/>
    <s v="Mocha"/>
    <x v="4"/>
    <n v="1"/>
    <n v="5.03"/>
    <n v="5.03"/>
    <n v="0.05"/>
    <n v="0.25"/>
    <n v="4.78"/>
    <n v="1.74"/>
    <n v="3.04"/>
    <x v="1"/>
    <x v="0"/>
    <s v="In-Store"/>
    <n v="5"/>
  </r>
  <r>
    <s v="ORD500325"/>
    <s v="2025-05-30"/>
    <x v="4"/>
    <s v="ST013"/>
    <x v="4"/>
    <x v="2"/>
    <s v="Birmingham"/>
    <s v="Whole Bean Coffee 250g"/>
    <x v="2"/>
    <n v="2"/>
    <n v="12.83"/>
    <n v="25.66"/>
    <n v="0"/>
    <n v="0"/>
    <n v="25.66"/>
    <n v="10.199999999999999"/>
    <n v="15.46"/>
    <x v="2"/>
    <x v="0"/>
    <s v="In-Store"/>
    <n v="3"/>
  </r>
  <r>
    <s v="ORD500042"/>
    <s v="2025-05-30"/>
    <x v="4"/>
    <s v="ST008"/>
    <x v="3"/>
    <x v="3"/>
    <s v="Seattle"/>
    <s v="Club Sandwich"/>
    <x v="1"/>
    <n v="3"/>
    <n v="7.51"/>
    <n v="22.53"/>
    <n v="0"/>
    <n v="0"/>
    <n v="22.53"/>
    <n v="9.31"/>
    <n v="13.22"/>
    <x v="0"/>
    <x v="0"/>
    <s v="In-Store"/>
    <n v="5"/>
  </r>
  <r>
    <s v="ORD500276"/>
    <s v="2025-05-31"/>
    <x v="4"/>
    <s v="ST005"/>
    <x v="3"/>
    <x v="3"/>
    <s v="Chicago"/>
    <s v="Latte"/>
    <x v="4"/>
    <n v="1"/>
    <n v="4.46"/>
    <n v="4.46"/>
    <n v="0"/>
    <n v="0"/>
    <n v="4.46"/>
    <n v="1.84"/>
    <n v="2.62"/>
    <x v="1"/>
    <x v="0"/>
    <s v="In-Store"/>
    <n v="5"/>
  </r>
  <r>
    <s v="ORD500311"/>
    <s v="2025-06-03"/>
    <x v="5"/>
    <s v="ST014"/>
    <x v="4"/>
    <x v="2"/>
    <s v="Birmingham"/>
    <s v="Whole Bean Coffee 250g"/>
    <x v="2"/>
    <n v="2"/>
    <n v="12.28"/>
    <n v="24.56"/>
    <n v="0.1"/>
    <n v="2.46"/>
    <n v="22.1"/>
    <n v="8.09"/>
    <n v="14.01"/>
    <x v="1"/>
    <x v="3"/>
    <s v="Mobile App"/>
    <n v="5"/>
  </r>
  <r>
    <s v="ORD500201"/>
    <s v="2025-06-07"/>
    <x v="5"/>
    <s v="ST012"/>
    <x v="4"/>
    <x v="2"/>
    <s v="Manchester"/>
    <s v="Bagel with Cream Cheese"/>
    <x v="3"/>
    <n v="3"/>
    <n v="3.69"/>
    <n v="11.07"/>
    <n v="0"/>
    <n v="0"/>
    <n v="11.07"/>
    <n v="4.0999999999999996"/>
    <n v="6.97"/>
    <x v="1"/>
    <x v="0"/>
    <s v="In-Store"/>
    <n v="5"/>
  </r>
  <r>
    <s v="ORD500163"/>
    <s v="2025-06-13"/>
    <x v="5"/>
    <s v="ST007"/>
    <x v="3"/>
    <x v="3"/>
    <s v="Seattle"/>
    <s v="Latte"/>
    <x v="4"/>
    <n v="3"/>
    <n v="4.6100000000000003"/>
    <n v="13.83"/>
    <n v="0"/>
    <n v="0"/>
    <n v="13.83"/>
    <n v="5.56"/>
    <n v="8.27"/>
    <x v="1"/>
    <x v="2"/>
    <s v="In-Store"/>
    <n v="3"/>
  </r>
  <r>
    <s v="ORD500223"/>
    <s v="2025-06-15"/>
    <x v="5"/>
    <s v="ST014"/>
    <x v="4"/>
    <x v="2"/>
    <s v="Birmingham"/>
    <s v="Chocolate Chip Cookie"/>
    <x v="3"/>
    <n v="1"/>
    <n v="2.59"/>
    <n v="2.59"/>
    <n v="0.05"/>
    <n v="0.13"/>
    <n v="2.46"/>
    <n v="0.81"/>
    <n v="1.65"/>
    <x v="1"/>
    <x v="0"/>
    <s v="In-Store"/>
    <n v="5"/>
  </r>
  <r>
    <s v="ORD500454"/>
    <s v="2025-06-17"/>
    <x v="5"/>
    <s v="ST011"/>
    <x v="4"/>
    <x v="2"/>
    <s v="Manchester"/>
    <s v="Americano"/>
    <x v="4"/>
    <n v="1"/>
    <n v="3.81"/>
    <n v="3.81"/>
    <n v="0"/>
    <n v="0"/>
    <n v="3.81"/>
    <n v="1.42"/>
    <n v="2.39"/>
    <x v="1"/>
    <x v="1"/>
    <s v="In-Store"/>
    <n v="5"/>
  </r>
  <r>
    <s v="ORD500038"/>
    <s v="2025-06-20"/>
    <x v="5"/>
    <s v="ST019"/>
    <x v="0"/>
    <x v="0"/>
    <s v="Mumbai"/>
    <s v="Chocolate Chip Cookie"/>
    <x v="3"/>
    <n v="3"/>
    <n v="2.4300000000000002"/>
    <n v="7.29"/>
    <n v="0.1"/>
    <n v="0.73"/>
    <n v="6.56"/>
    <n v="2.39"/>
    <n v="4.17"/>
    <x v="0"/>
    <x v="0"/>
    <s v="In-Store"/>
    <n v="5"/>
  </r>
  <r>
    <s v="ORD500272"/>
    <s v="2025-06-21"/>
    <x v="5"/>
    <s v="ST020"/>
    <x v="0"/>
    <x v="0"/>
    <s v="Mumbai"/>
    <s v="Blueberry Muffin"/>
    <x v="3"/>
    <n v="1"/>
    <n v="3.28"/>
    <n v="3.28"/>
    <n v="0.05"/>
    <n v="0.16"/>
    <n v="3.12"/>
    <n v="1"/>
    <n v="2.12"/>
    <x v="1"/>
    <x v="3"/>
    <s v="Drive-Thru"/>
    <n v="5"/>
  </r>
  <r>
    <s v="ORD500475"/>
    <s v="2025-06-21"/>
    <x v="5"/>
    <s v="ST001"/>
    <x v="3"/>
    <x v="3"/>
    <s v="New York"/>
    <s v="Avocado Toast"/>
    <x v="1"/>
    <n v="1"/>
    <n v="6.65"/>
    <n v="6.65"/>
    <n v="0.05"/>
    <n v="0.33"/>
    <n v="6.32"/>
    <n v="2.12"/>
    <n v="4.2"/>
    <x v="0"/>
    <x v="2"/>
    <s v="In-Store"/>
    <n v="4"/>
  </r>
  <r>
    <s v="ORD500369"/>
    <s v="2025-06-23"/>
    <x v="5"/>
    <s v="ST007"/>
    <x v="3"/>
    <x v="3"/>
    <s v="Seattle"/>
    <s v="Club Sandwich"/>
    <x v="1"/>
    <n v="3"/>
    <n v="7.75"/>
    <n v="23.25"/>
    <n v="0"/>
    <n v="0"/>
    <n v="23.25"/>
    <n v="9.39"/>
    <n v="13.86"/>
    <x v="1"/>
    <x v="2"/>
    <s v="In-Store"/>
    <n v="4"/>
  </r>
  <r>
    <s v="ORD500043"/>
    <s v="2025-06-26"/>
    <x v="5"/>
    <s v="ST026"/>
    <x v="6"/>
    <x v="3"/>
    <s v="Toronto"/>
    <s v="Croissant"/>
    <x v="3"/>
    <n v="2"/>
    <n v="3.21"/>
    <n v="6.42"/>
    <n v="0"/>
    <n v="0"/>
    <n v="6.42"/>
    <n v="2.2599999999999998"/>
    <n v="4.16"/>
    <x v="2"/>
    <x v="1"/>
    <s v="Drive-Thru"/>
    <n v="3"/>
  </r>
  <r>
    <s v="ORD500321"/>
    <s v="2025-06-29"/>
    <x v="5"/>
    <s v="ST001"/>
    <x v="3"/>
    <x v="3"/>
    <s v="New York"/>
    <s v="Avocado Toast"/>
    <x v="1"/>
    <n v="1"/>
    <n v="6.68"/>
    <n v="6.68"/>
    <n v="0"/>
    <n v="0"/>
    <n v="6.68"/>
    <n v="2.46"/>
    <n v="4.22"/>
    <x v="0"/>
    <x v="3"/>
    <s v="Drive-Thru"/>
    <n v="5"/>
  </r>
  <r>
    <s v="ORD500068"/>
    <s v="2025-07-01"/>
    <x v="6"/>
    <s v="ST001"/>
    <x v="3"/>
    <x v="3"/>
    <s v="New York"/>
    <s v="Caesar Salad"/>
    <x v="1"/>
    <n v="5"/>
    <n v="7.8"/>
    <n v="39"/>
    <n v="0"/>
    <n v="0"/>
    <n v="39"/>
    <n v="14.55"/>
    <n v="24.45"/>
    <x v="0"/>
    <x v="3"/>
    <s v="Drive-Thru"/>
    <n v="5"/>
  </r>
  <r>
    <s v="ORD500303"/>
    <s v="2025-07-02"/>
    <x v="6"/>
    <s v="ST010"/>
    <x v="4"/>
    <x v="2"/>
    <s v="London"/>
    <s v="Espresso"/>
    <x v="4"/>
    <n v="1"/>
    <n v="3.53"/>
    <n v="3.53"/>
    <n v="0"/>
    <n v="0"/>
    <n v="3.53"/>
    <n v="1.38"/>
    <n v="2.15"/>
    <x v="1"/>
    <x v="1"/>
    <s v="In-Store"/>
    <n v="5"/>
  </r>
  <r>
    <s v="ORD500305"/>
    <s v="2025-07-09"/>
    <x v="6"/>
    <s v="ST022"/>
    <x v="0"/>
    <x v="0"/>
    <s v="Bengaluru"/>
    <s v="Cappuccino"/>
    <x v="4"/>
    <n v="1"/>
    <n v="4.08"/>
    <n v="4.08"/>
    <n v="0.15"/>
    <n v="0.61"/>
    <n v="3.47"/>
    <n v="1.42"/>
    <n v="2.0499999999999998"/>
    <x v="2"/>
    <x v="0"/>
    <s v="In-Store"/>
    <n v="5"/>
  </r>
  <r>
    <s v="ORD500243"/>
    <s v="2025-07-10"/>
    <x v="6"/>
    <s v="ST025"/>
    <x v="5"/>
    <x v="0"/>
    <s v="Melbourne"/>
    <s v="Bagel with Cream Cheese"/>
    <x v="3"/>
    <n v="1"/>
    <n v="3.69"/>
    <n v="3.69"/>
    <n v="0"/>
    <n v="0"/>
    <n v="3.69"/>
    <n v="1.44"/>
    <n v="2.25"/>
    <x v="0"/>
    <x v="0"/>
    <s v="Drive-Thru"/>
    <n v="4"/>
  </r>
  <r>
    <s v="ORD500253"/>
    <s v="2025-07-10"/>
    <x v="6"/>
    <s v="ST002"/>
    <x v="3"/>
    <x v="3"/>
    <s v="New York"/>
    <s v="Granola Bowl"/>
    <x v="1"/>
    <n v="1"/>
    <n v="6.83"/>
    <n v="6.83"/>
    <n v="0"/>
    <n v="0"/>
    <n v="6.83"/>
    <n v="2.69"/>
    <n v="4.1399999999999997"/>
    <x v="1"/>
    <x v="2"/>
    <s v="Mobile App"/>
    <n v="5"/>
  </r>
  <r>
    <s v="ORD500401"/>
    <s v="2025-07-14"/>
    <x v="6"/>
    <s v="ST028"/>
    <x v="1"/>
    <x v="1"/>
    <s v="Dubai"/>
    <s v="Espresso"/>
    <x v="4"/>
    <n v="1"/>
    <n v="3.41"/>
    <n v="3.41"/>
    <n v="0"/>
    <n v="0"/>
    <n v="3.41"/>
    <n v="1.34"/>
    <n v="2.0699999999999998"/>
    <x v="1"/>
    <x v="3"/>
    <s v="Drive-Thru"/>
    <n v="4"/>
  </r>
  <r>
    <s v="ORD500023"/>
    <s v="2025-07-15"/>
    <x v="6"/>
    <s v="ST019"/>
    <x v="0"/>
    <x v="0"/>
    <s v="Mumbai"/>
    <s v="Chocolate Chip Cookie"/>
    <x v="3"/>
    <n v="2"/>
    <n v="2.41"/>
    <n v="4.82"/>
    <n v="0.05"/>
    <n v="0.24"/>
    <n v="4.58"/>
    <n v="1.6"/>
    <n v="2.98"/>
    <x v="0"/>
    <x v="0"/>
    <s v="In-Store"/>
    <n v="2"/>
  </r>
  <r>
    <s v="ORD500283"/>
    <s v="2025-07-15"/>
    <x v="6"/>
    <s v="ST017"/>
    <x v="2"/>
    <x v="2"/>
    <s v="Munich"/>
    <s v="Iced Latte"/>
    <x v="0"/>
    <n v="2"/>
    <n v="4.99"/>
    <n v="9.98"/>
    <n v="0"/>
    <n v="0"/>
    <n v="9.98"/>
    <n v="3.35"/>
    <n v="6.63"/>
    <x v="2"/>
    <x v="0"/>
    <s v="In-Store"/>
    <n v="1"/>
  </r>
  <r>
    <s v="ORD500462"/>
    <s v="2025-07-17"/>
    <x v="6"/>
    <s v="ST025"/>
    <x v="5"/>
    <x v="0"/>
    <s v="Melbourne"/>
    <s v="Avocado Toast"/>
    <x v="1"/>
    <n v="1"/>
    <n v="6.66"/>
    <n v="6.66"/>
    <n v="0.05"/>
    <n v="0.33"/>
    <n v="6.33"/>
    <n v="2.3199999999999998"/>
    <n v="4.01"/>
    <x v="0"/>
    <x v="3"/>
    <s v="In-Store"/>
    <n v="4"/>
  </r>
  <r>
    <s v="ORD500406"/>
    <s v="2025-07-18"/>
    <x v="6"/>
    <s v="ST013"/>
    <x v="4"/>
    <x v="2"/>
    <s v="Birmingham"/>
    <s v="Cold Brew"/>
    <x v="0"/>
    <n v="2"/>
    <n v="4.45"/>
    <n v="8.9"/>
    <n v="0"/>
    <n v="0"/>
    <n v="8.9"/>
    <n v="3.42"/>
    <n v="5.48"/>
    <x v="0"/>
    <x v="0"/>
    <s v="Mobile App"/>
    <n v="5"/>
  </r>
  <r>
    <s v="ORD500413"/>
    <s v="2025-07-19"/>
    <x v="6"/>
    <s v="ST028"/>
    <x v="1"/>
    <x v="1"/>
    <s v="Dubai"/>
    <s v="Caesar Salad"/>
    <x v="1"/>
    <n v="1"/>
    <n v="8.33"/>
    <n v="8.33"/>
    <n v="0.15"/>
    <n v="1.25"/>
    <n v="7.08"/>
    <n v="2.89"/>
    <n v="4.1900000000000004"/>
    <x v="1"/>
    <x v="2"/>
    <s v="In-Store"/>
    <n v="3"/>
  </r>
  <r>
    <s v="ORD500449"/>
    <s v="2025-07-20"/>
    <x v="6"/>
    <s v="ST017"/>
    <x v="2"/>
    <x v="2"/>
    <s v="Munich"/>
    <s v="Croissant"/>
    <x v="3"/>
    <n v="1"/>
    <n v="3.16"/>
    <n v="3.16"/>
    <n v="0"/>
    <n v="0"/>
    <n v="3.16"/>
    <n v="1.29"/>
    <n v="1.87"/>
    <x v="0"/>
    <x v="0"/>
    <s v="In-Store"/>
    <n v="4"/>
  </r>
  <r>
    <s v="ORD500002"/>
    <s v="2025-07-20"/>
    <x v="6"/>
    <s v="ST012"/>
    <x v="4"/>
    <x v="2"/>
    <s v="Manchester"/>
    <s v="Bagel with Cream Cheese"/>
    <x v="3"/>
    <n v="1"/>
    <n v="3.59"/>
    <n v="3.59"/>
    <n v="0.05"/>
    <n v="0.18"/>
    <n v="3.41"/>
    <n v="1.34"/>
    <n v="2.0699999999999998"/>
    <x v="1"/>
    <x v="2"/>
    <s v="In-Store"/>
    <n v="4"/>
  </r>
  <r>
    <s v="ORD500439"/>
    <s v="2025-07-22"/>
    <x v="6"/>
    <s v="ST010"/>
    <x v="4"/>
    <x v="2"/>
    <s v="London"/>
    <s v="Croissant"/>
    <x v="3"/>
    <n v="4"/>
    <n v="3.23"/>
    <n v="12.92"/>
    <n v="0"/>
    <n v="0"/>
    <n v="12.92"/>
    <n v="4.6399999999999997"/>
    <n v="8.2799999999999994"/>
    <x v="1"/>
    <x v="2"/>
    <s v="Mobile App"/>
    <n v="5"/>
  </r>
  <r>
    <s v="ORD500175"/>
    <s v="2025-07-23"/>
    <x v="6"/>
    <s v="ST002"/>
    <x v="3"/>
    <x v="3"/>
    <s v="New York"/>
    <s v="Ceramic Mug"/>
    <x v="2"/>
    <n v="1"/>
    <n v="9.1"/>
    <n v="9.1"/>
    <n v="0"/>
    <n v="0"/>
    <n v="9.1"/>
    <n v="3.24"/>
    <n v="5.86"/>
    <x v="1"/>
    <x v="1"/>
    <s v="In-Store"/>
    <n v="5"/>
  </r>
  <r>
    <s v="ORD500022"/>
    <s v="2025-07-23"/>
    <x v="6"/>
    <s v="ST010"/>
    <x v="4"/>
    <x v="2"/>
    <s v="London"/>
    <s v="Cold Brew"/>
    <x v="0"/>
    <n v="1"/>
    <n v="4.4000000000000004"/>
    <n v="4.4000000000000004"/>
    <n v="0"/>
    <n v="0"/>
    <n v="4.4000000000000004"/>
    <n v="1.68"/>
    <n v="2.72"/>
    <x v="1"/>
    <x v="0"/>
    <s v="Drive-Thru"/>
    <n v="5"/>
  </r>
  <r>
    <s v="ORD500052"/>
    <s v="2025-07-24"/>
    <x v="6"/>
    <s v="ST014"/>
    <x v="4"/>
    <x v="2"/>
    <s v="Birmingham"/>
    <s v="Espresso"/>
    <x v="4"/>
    <n v="1"/>
    <n v="3.45"/>
    <n v="3.45"/>
    <n v="0"/>
    <n v="0"/>
    <n v="3.45"/>
    <n v="1.32"/>
    <n v="2.13"/>
    <x v="1"/>
    <x v="2"/>
    <s v="In-Store"/>
    <n v="5"/>
  </r>
  <r>
    <s v="ORD500407"/>
    <s v="2025-07-24"/>
    <x v="6"/>
    <s v="ST007"/>
    <x v="3"/>
    <x v="3"/>
    <s v="Seattle"/>
    <s v="Avocado Toast"/>
    <x v="1"/>
    <n v="1"/>
    <n v="6.21"/>
    <n v="6.21"/>
    <n v="0"/>
    <n v="0"/>
    <n v="6.21"/>
    <n v="2.3199999999999998"/>
    <n v="3.89"/>
    <x v="0"/>
    <x v="1"/>
    <s v="In-Store"/>
    <n v="4"/>
  </r>
  <r>
    <s v="ORD500036"/>
    <s v="2025-07-25"/>
    <x v="6"/>
    <s v="ST008"/>
    <x v="3"/>
    <x v="3"/>
    <s v="Seattle"/>
    <s v="Latte"/>
    <x v="4"/>
    <n v="4"/>
    <n v="4.5199999999999996"/>
    <n v="18.079999999999998"/>
    <n v="0"/>
    <n v="0"/>
    <n v="18.079999999999998"/>
    <n v="7.14"/>
    <n v="10.94"/>
    <x v="0"/>
    <x v="3"/>
    <s v="Drive-Thru"/>
    <n v="3"/>
  </r>
  <r>
    <s v="ORD500040"/>
    <s v="2025-07-26"/>
    <x v="6"/>
    <s v="ST005"/>
    <x v="3"/>
    <x v="3"/>
    <s v="Chicago"/>
    <s v="Bagel with Cream Cheese"/>
    <x v="3"/>
    <n v="1"/>
    <n v="3.71"/>
    <n v="3.71"/>
    <n v="0"/>
    <n v="0"/>
    <n v="3.71"/>
    <n v="1.26"/>
    <n v="2.4500000000000002"/>
    <x v="0"/>
    <x v="0"/>
    <s v="Mobile App"/>
    <n v="5"/>
  </r>
  <r>
    <s v="ORD500273"/>
    <s v="2025-07-26"/>
    <x v="6"/>
    <s v="ST005"/>
    <x v="3"/>
    <x v="3"/>
    <s v="Chicago"/>
    <s v="Mocha"/>
    <x v="4"/>
    <n v="1"/>
    <n v="4.8499999999999996"/>
    <n v="4.8499999999999996"/>
    <n v="0"/>
    <n v="0"/>
    <n v="4.8499999999999996"/>
    <n v="2.0099999999999998"/>
    <n v="2.84"/>
    <x v="2"/>
    <x v="0"/>
    <s v="In-Store"/>
    <n v="4"/>
  </r>
  <r>
    <s v="ORD500101"/>
    <s v="2025-07-26"/>
    <x v="6"/>
    <s v="ST016"/>
    <x v="2"/>
    <x v="2"/>
    <s v="Munich"/>
    <s v="Latte"/>
    <x v="4"/>
    <n v="2"/>
    <n v="4.3"/>
    <n v="8.6"/>
    <n v="0"/>
    <n v="0"/>
    <n v="8.6"/>
    <n v="3.56"/>
    <n v="5.04"/>
    <x v="2"/>
    <x v="2"/>
    <s v="Mobile App"/>
    <n v="4"/>
  </r>
  <r>
    <s v="ORD500174"/>
    <s v="2025-07-27"/>
    <x v="6"/>
    <s v="ST009"/>
    <x v="4"/>
    <x v="2"/>
    <s v="London"/>
    <s v="Ceramic Mug"/>
    <x v="2"/>
    <n v="1"/>
    <n v="8.74"/>
    <n v="8.74"/>
    <n v="0"/>
    <n v="0"/>
    <n v="8.74"/>
    <n v="2.84"/>
    <n v="5.9"/>
    <x v="1"/>
    <x v="2"/>
    <s v="In-Store"/>
    <n v="2"/>
  </r>
  <r>
    <s v="ORD500240"/>
    <s v="2025-07-28"/>
    <x v="6"/>
    <s v="ST002"/>
    <x v="3"/>
    <x v="3"/>
    <s v="New York"/>
    <s v="Club Sandwich"/>
    <x v="1"/>
    <n v="1"/>
    <n v="7.74"/>
    <n v="7.74"/>
    <n v="0"/>
    <n v="0"/>
    <n v="7.74"/>
    <n v="3.16"/>
    <n v="4.58"/>
    <x v="1"/>
    <x v="0"/>
    <s v="Mobile App"/>
    <n v="5"/>
  </r>
  <r>
    <s v="ORD500256"/>
    <s v="2025-07-30"/>
    <x v="6"/>
    <s v="ST027"/>
    <x v="6"/>
    <x v="3"/>
    <s v="Vancouver"/>
    <s v="Caesar Salad"/>
    <x v="1"/>
    <n v="2"/>
    <n v="8.35"/>
    <n v="16.7"/>
    <n v="0.05"/>
    <n v="0.84"/>
    <n v="15.86"/>
    <n v="5.3"/>
    <n v="10.56"/>
    <x v="2"/>
    <x v="3"/>
    <s v="In-Store"/>
    <n v="4"/>
  </r>
  <r>
    <s v="ORD500224"/>
    <s v="2025-08-01"/>
    <x v="7"/>
    <s v="ST018"/>
    <x v="2"/>
    <x v="2"/>
    <s v="Hamburg"/>
    <s v="Iced Tea"/>
    <x v="0"/>
    <n v="3"/>
    <n v="3.84"/>
    <n v="11.52"/>
    <n v="0"/>
    <n v="0"/>
    <n v="11.52"/>
    <n v="4.33"/>
    <n v="7.19"/>
    <x v="2"/>
    <x v="3"/>
    <s v="In-Store"/>
    <n v="5"/>
  </r>
  <r>
    <s v="ORD500492"/>
    <s v="2025-08-01"/>
    <x v="7"/>
    <s v="ST007"/>
    <x v="3"/>
    <x v="3"/>
    <s v="Seattle"/>
    <s v="Croissant"/>
    <x v="3"/>
    <n v="4"/>
    <n v="3.09"/>
    <n v="12.36"/>
    <n v="0"/>
    <n v="0"/>
    <n v="12.36"/>
    <n v="4.53"/>
    <n v="7.83"/>
    <x v="0"/>
    <x v="2"/>
    <s v="Mobile App"/>
    <n v="3"/>
  </r>
  <r>
    <s v="ORD500268"/>
    <s v="2025-08-03"/>
    <x v="7"/>
    <s v="ST004"/>
    <x v="3"/>
    <x v="3"/>
    <s v="Chicago"/>
    <s v="Americano"/>
    <x v="4"/>
    <n v="2"/>
    <n v="3.87"/>
    <n v="7.74"/>
    <n v="0"/>
    <n v="0"/>
    <n v="7.74"/>
    <n v="3.02"/>
    <n v="4.72"/>
    <x v="1"/>
    <x v="0"/>
    <s v="In-Store"/>
    <n v="3"/>
  </r>
  <r>
    <s v="ORD500307"/>
    <s v="2025-08-03"/>
    <x v="7"/>
    <s v="ST024"/>
    <x v="5"/>
    <x v="0"/>
    <s v="Sydney"/>
    <s v="Frappe"/>
    <x v="0"/>
    <n v="1"/>
    <n v="4.97"/>
    <n v="4.97"/>
    <n v="0"/>
    <n v="0"/>
    <n v="4.97"/>
    <n v="1.78"/>
    <n v="3.19"/>
    <x v="0"/>
    <x v="1"/>
    <s v="In-Store"/>
    <n v="1"/>
  </r>
  <r>
    <s v="ORD500188"/>
    <s v="2025-08-03"/>
    <x v="7"/>
    <s v="ST030"/>
    <x v="1"/>
    <x v="1"/>
    <s v="Abu Dhabi"/>
    <s v="Chocolate Chip Cookie"/>
    <x v="3"/>
    <n v="1"/>
    <n v="2.59"/>
    <n v="2.59"/>
    <n v="0"/>
    <n v="0"/>
    <n v="2.59"/>
    <n v="0.94"/>
    <n v="1.65"/>
    <x v="0"/>
    <x v="2"/>
    <s v="In-Store"/>
    <n v="4"/>
  </r>
  <r>
    <s v="ORD500450"/>
    <s v="2025-08-05"/>
    <x v="7"/>
    <s v="ST006"/>
    <x v="3"/>
    <x v="3"/>
    <s v="Houston"/>
    <s v="Club Sandwich"/>
    <x v="1"/>
    <n v="1"/>
    <n v="8.11"/>
    <n v="8.11"/>
    <n v="0.05"/>
    <n v="0.41"/>
    <n v="7.7"/>
    <n v="2.78"/>
    <n v="4.92"/>
    <x v="1"/>
    <x v="2"/>
    <s v="In-Store"/>
    <n v="5"/>
  </r>
  <r>
    <s v="ORD500334"/>
    <s v="2025-08-06"/>
    <x v="7"/>
    <s v="ST002"/>
    <x v="3"/>
    <x v="3"/>
    <s v="New York"/>
    <s v="Whole Bean Coffee 250g"/>
    <x v="2"/>
    <n v="1"/>
    <n v="12.72"/>
    <n v="12.72"/>
    <n v="0"/>
    <n v="0"/>
    <n v="12.72"/>
    <n v="4.49"/>
    <n v="8.23"/>
    <x v="0"/>
    <x v="0"/>
    <s v="In-Store"/>
    <n v="4"/>
  </r>
  <r>
    <s v="ORD500296"/>
    <s v="2025-08-06"/>
    <x v="7"/>
    <s v="ST023"/>
    <x v="0"/>
    <x v="0"/>
    <s v="Bengaluru"/>
    <s v="Bagel with Cream Cheese"/>
    <x v="3"/>
    <n v="2"/>
    <n v="3.52"/>
    <n v="7.04"/>
    <n v="0"/>
    <n v="0"/>
    <n v="7.04"/>
    <n v="2.79"/>
    <n v="4.25"/>
    <x v="0"/>
    <x v="2"/>
    <s v="In-Store"/>
    <n v="4"/>
  </r>
  <r>
    <s v="ORD500451"/>
    <s v="2025-08-09"/>
    <x v="7"/>
    <s v="ST019"/>
    <x v="0"/>
    <x v="0"/>
    <s v="Mumbai"/>
    <s v="Bagel with Cream Cheese"/>
    <x v="3"/>
    <n v="3"/>
    <n v="3.73"/>
    <n v="11.19"/>
    <n v="0.1"/>
    <n v="1.1200000000000001"/>
    <n v="10.07"/>
    <n v="3.72"/>
    <n v="6.35"/>
    <x v="2"/>
    <x v="0"/>
    <s v="In-Store"/>
    <n v="5"/>
  </r>
  <r>
    <s v="ORD500071"/>
    <s v="2025-08-11"/>
    <x v="7"/>
    <s v="ST001"/>
    <x v="3"/>
    <x v="3"/>
    <s v="New York"/>
    <s v="Iced Latte"/>
    <x v="0"/>
    <n v="5"/>
    <n v="4.7300000000000004"/>
    <n v="23.65"/>
    <n v="0"/>
    <n v="0"/>
    <n v="23.65"/>
    <n v="9.19"/>
    <n v="14.46"/>
    <x v="1"/>
    <x v="1"/>
    <s v="In-Store"/>
    <n v="4"/>
  </r>
  <r>
    <s v="ORD500115"/>
    <s v="2025-08-11"/>
    <x v="7"/>
    <s v="ST029"/>
    <x v="1"/>
    <x v="1"/>
    <s v="Dubai"/>
    <s v="Americano"/>
    <x v="4"/>
    <n v="1"/>
    <n v="3.81"/>
    <n v="3.81"/>
    <n v="0"/>
    <n v="0"/>
    <n v="3.81"/>
    <n v="1.55"/>
    <n v="2.2599999999999998"/>
    <x v="0"/>
    <x v="0"/>
    <s v="Mobile App"/>
    <n v="3"/>
  </r>
  <r>
    <s v="ORD500306"/>
    <s v="2025-08-13"/>
    <x v="7"/>
    <s v="ST014"/>
    <x v="4"/>
    <x v="2"/>
    <s v="Birmingham"/>
    <s v="Blueberry Muffin"/>
    <x v="3"/>
    <n v="1"/>
    <n v="3.41"/>
    <n v="3.41"/>
    <n v="0"/>
    <n v="0"/>
    <n v="3.41"/>
    <n v="1.1499999999999999"/>
    <n v="2.2599999999999998"/>
    <x v="0"/>
    <x v="0"/>
    <s v="In-Store"/>
    <n v="4"/>
  </r>
  <r>
    <s v="ORD500162"/>
    <s v="2025-08-15"/>
    <x v="7"/>
    <s v="ST024"/>
    <x v="5"/>
    <x v="0"/>
    <s v="Sydney"/>
    <s v="Iced Tea"/>
    <x v="0"/>
    <n v="1"/>
    <n v="4.09"/>
    <n v="4.09"/>
    <n v="0"/>
    <n v="0"/>
    <n v="4.09"/>
    <n v="1.34"/>
    <n v="2.75"/>
    <x v="1"/>
    <x v="1"/>
    <s v="In-Store"/>
    <n v="5"/>
  </r>
  <r>
    <s v="ORD500489"/>
    <s v="2025-08-16"/>
    <x v="7"/>
    <s v="ST022"/>
    <x v="0"/>
    <x v="0"/>
    <s v="Bengaluru"/>
    <s v="Tumbler"/>
    <x v="2"/>
    <n v="2"/>
    <n v="14.64"/>
    <n v="29.28"/>
    <n v="0.05"/>
    <n v="1.46"/>
    <n v="27.82"/>
    <n v="10.61"/>
    <n v="17.21"/>
    <x v="0"/>
    <x v="2"/>
    <s v="In-Store"/>
    <n v="5"/>
  </r>
  <r>
    <s v="ORD500332"/>
    <s v="2025-08-16"/>
    <x v="7"/>
    <s v="ST002"/>
    <x v="3"/>
    <x v="3"/>
    <s v="New York"/>
    <s v="Ceramic Mug"/>
    <x v="2"/>
    <n v="1"/>
    <n v="8.77"/>
    <n v="8.77"/>
    <n v="0"/>
    <n v="0"/>
    <n v="8.77"/>
    <n v="3.09"/>
    <n v="5.68"/>
    <x v="0"/>
    <x v="0"/>
    <s v="In-Store"/>
    <n v="5"/>
  </r>
  <r>
    <s v="ORD500122"/>
    <s v="2025-08-17"/>
    <x v="7"/>
    <s v="ST016"/>
    <x v="2"/>
    <x v="2"/>
    <s v="Munich"/>
    <s v="Iced Latte"/>
    <x v="0"/>
    <n v="1"/>
    <n v="4.97"/>
    <n v="4.97"/>
    <n v="0"/>
    <n v="0"/>
    <n v="4.97"/>
    <n v="1.71"/>
    <n v="3.26"/>
    <x v="1"/>
    <x v="0"/>
    <s v="In-Store"/>
    <n v="5"/>
  </r>
  <r>
    <s v="ORD500156"/>
    <s v="2025-08-20"/>
    <x v="7"/>
    <s v="ST027"/>
    <x v="6"/>
    <x v="3"/>
    <s v="Vancouver"/>
    <s v="Frappe"/>
    <x v="0"/>
    <n v="5"/>
    <n v="5.13"/>
    <n v="25.65"/>
    <n v="0"/>
    <n v="0"/>
    <n v="25.65"/>
    <n v="8.65"/>
    <n v="17"/>
    <x v="1"/>
    <x v="2"/>
    <s v="In-Store"/>
    <n v="5"/>
  </r>
  <r>
    <s v="ORD500110"/>
    <s v="2025-08-21"/>
    <x v="7"/>
    <s v="ST003"/>
    <x v="3"/>
    <x v="3"/>
    <s v="Los Angeles"/>
    <s v="Avocado Toast"/>
    <x v="1"/>
    <n v="1"/>
    <n v="6.67"/>
    <n v="6.67"/>
    <n v="0"/>
    <n v="0"/>
    <n v="6.67"/>
    <n v="2.2200000000000002"/>
    <n v="4.45"/>
    <x v="1"/>
    <x v="1"/>
    <s v="Drive-Thru"/>
    <n v="5"/>
  </r>
  <r>
    <s v="ORD500402"/>
    <s v="2025-08-22"/>
    <x v="7"/>
    <s v="ST002"/>
    <x v="3"/>
    <x v="3"/>
    <s v="New York"/>
    <s v="Bagel with Cream Cheese"/>
    <x v="3"/>
    <n v="1"/>
    <n v="3.65"/>
    <n v="3.65"/>
    <n v="0.15"/>
    <n v="0.55000000000000004"/>
    <n v="3.1"/>
    <n v="1.23"/>
    <n v="1.87"/>
    <x v="2"/>
    <x v="0"/>
    <s v="In-Store"/>
    <n v="5"/>
  </r>
  <r>
    <s v="ORD500301"/>
    <s v="2025-08-23"/>
    <x v="7"/>
    <s v="ST014"/>
    <x v="4"/>
    <x v="2"/>
    <s v="Birmingham"/>
    <s v="Club Sandwich"/>
    <x v="1"/>
    <n v="1"/>
    <n v="7.56"/>
    <n v="7.56"/>
    <n v="0"/>
    <n v="0"/>
    <n v="7.56"/>
    <n v="2.7"/>
    <n v="4.8600000000000003"/>
    <x v="1"/>
    <x v="3"/>
    <s v="Mobile App"/>
    <n v="4"/>
  </r>
  <r>
    <s v="ORD500437"/>
    <s v="2025-08-24"/>
    <x v="7"/>
    <s v="ST004"/>
    <x v="3"/>
    <x v="3"/>
    <s v="Chicago"/>
    <s v="Frappe"/>
    <x v="0"/>
    <n v="4"/>
    <n v="5.1100000000000003"/>
    <n v="20.440000000000001"/>
    <n v="0"/>
    <n v="0"/>
    <n v="20.440000000000001"/>
    <n v="7.67"/>
    <n v="12.77"/>
    <x v="0"/>
    <x v="1"/>
    <s v="In-Store"/>
    <n v="5"/>
  </r>
  <r>
    <s v="ORD500152"/>
    <s v="2025-08-24"/>
    <x v="7"/>
    <s v="ST001"/>
    <x v="3"/>
    <x v="3"/>
    <s v="New York"/>
    <s v="Blueberry Muffin"/>
    <x v="3"/>
    <n v="4"/>
    <n v="3.38"/>
    <n v="13.52"/>
    <n v="0"/>
    <n v="0"/>
    <n v="13.52"/>
    <n v="5.52"/>
    <n v="8"/>
    <x v="0"/>
    <x v="1"/>
    <s v="In-Store"/>
    <n v="3"/>
  </r>
  <r>
    <s v="ORD500222"/>
    <s v="2025-08-27"/>
    <x v="7"/>
    <s v="ST027"/>
    <x v="6"/>
    <x v="3"/>
    <s v="Vancouver"/>
    <s v="Cold Brew"/>
    <x v="0"/>
    <n v="1"/>
    <n v="4.63"/>
    <n v="4.63"/>
    <n v="0"/>
    <n v="0"/>
    <n v="4.63"/>
    <n v="1.92"/>
    <n v="2.71"/>
    <x v="1"/>
    <x v="3"/>
    <s v="In-Store"/>
    <n v="5"/>
  </r>
  <r>
    <s v="ORD500094"/>
    <s v="2025-08-28"/>
    <x v="7"/>
    <s v="ST016"/>
    <x v="2"/>
    <x v="2"/>
    <s v="Munich"/>
    <s v="Cappuccino"/>
    <x v="4"/>
    <n v="2"/>
    <n v="4.32"/>
    <n v="8.64"/>
    <n v="0"/>
    <n v="0"/>
    <n v="8.64"/>
    <n v="3.18"/>
    <n v="5.46"/>
    <x v="2"/>
    <x v="2"/>
    <s v="In-Store"/>
    <n v="3"/>
  </r>
  <r>
    <s v="ORD500460"/>
    <s v="2025-08-30"/>
    <x v="7"/>
    <s v="ST025"/>
    <x v="5"/>
    <x v="0"/>
    <s v="Melbourne"/>
    <s v="Cold Brew"/>
    <x v="0"/>
    <n v="3"/>
    <n v="4.4400000000000004"/>
    <n v="13.32"/>
    <n v="0"/>
    <n v="0"/>
    <n v="13.32"/>
    <n v="4.67"/>
    <n v="8.65"/>
    <x v="0"/>
    <x v="0"/>
    <s v="In-Store"/>
    <n v="3"/>
  </r>
  <r>
    <s v="ORD500213"/>
    <s v="2025-08-30"/>
    <x v="7"/>
    <s v="ST027"/>
    <x v="6"/>
    <x v="3"/>
    <s v="Vancouver"/>
    <s v="Granola Bowl"/>
    <x v="1"/>
    <n v="2"/>
    <n v="6.95"/>
    <n v="13.9"/>
    <n v="0.15"/>
    <n v="2.08"/>
    <n v="11.82"/>
    <n v="4.5"/>
    <n v="7.32"/>
    <x v="1"/>
    <x v="3"/>
    <s v="Drive-Thru"/>
    <n v="3"/>
  </r>
  <r>
    <s v="ORD500345"/>
    <s v="2025-08-30"/>
    <x v="7"/>
    <s v="ST025"/>
    <x v="5"/>
    <x v="0"/>
    <s v="Melbourne"/>
    <s v="Espresso"/>
    <x v="4"/>
    <n v="1"/>
    <n v="3.34"/>
    <n v="3.34"/>
    <n v="0.1"/>
    <n v="0.33"/>
    <n v="3.01"/>
    <n v="1.25"/>
    <n v="1.76"/>
    <x v="0"/>
    <x v="0"/>
    <s v="In-Store"/>
    <n v="3"/>
  </r>
  <r>
    <s v="ORD500372"/>
    <s v="2025-08-31"/>
    <x v="7"/>
    <s v="ST004"/>
    <x v="3"/>
    <x v="3"/>
    <s v="Chicago"/>
    <s v="Americano"/>
    <x v="4"/>
    <n v="2"/>
    <n v="3.7"/>
    <n v="7.4"/>
    <n v="0.1"/>
    <n v="0.74"/>
    <n v="6.66"/>
    <n v="2.4500000000000002"/>
    <n v="4.21"/>
    <x v="0"/>
    <x v="0"/>
    <s v="In-Store"/>
    <n v="3"/>
  </r>
  <r>
    <s v="ORD500020"/>
    <s v="2025-08-31"/>
    <x v="7"/>
    <s v="ST006"/>
    <x v="3"/>
    <x v="3"/>
    <s v="Houston"/>
    <s v="Ceramic Mug"/>
    <x v="2"/>
    <n v="1"/>
    <n v="9.3000000000000007"/>
    <n v="9.3000000000000007"/>
    <n v="0.1"/>
    <n v="0.93"/>
    <n v="8.3699999999999992"/>
    <n v="3.26"/>
    <n v="5.1100000000000003"/>
    <x v="0"/>
    <x v="0"/>
    <s v="In-Store"/>
    <n v="3"/>
  </r>
  <r>
    <s v="ORD500349"/>
    <s v="2025-09-05"/>
    <x v="8"/>
    <s v="ST011"/>
    <x v="4"/>
    <x v="2"/>
    <s v="Manchester"/>
    <s v="Cappuccino"/>
    <x v="4"/>
    <n v="3"/>
    <n v="4.3099999999999996"/>
    <n v="12.93"/>
    <n v="0"/>
    <n v="0"/>
    <n v="12.93"/>
    <n v="4.28"/>
    <n v="8.65"/>
    <x v="0"/>
    <x v="2"/>
    <s v="Mobile App"/>
    <n v="4"/>
  </r>
  <r>
    <s v="ORD500445"/>
    <s v="2025-09-08"/>
    <x v="8"/>
    <s v="ST015"/>
    <x v="2"/>
    <x v="2"/>
    <s v="Berlin"/>
    <s v="Americano"/>
    <x v="4"/>
    <n v="1"/>
    <n v="3.94"/>
    <n v="3.94"/>
    <n v="0"/>
    <n v="0"/>
    <n v="3.94"/>
    <n v="1.61"/>
    <n v="2.33"/>
    <x v="0"/>
    <x v="2"/>
    <s v="In-Store"/>
    <n v="5"/>
  </r>
  <r>
    <s v="ORD500330"/>
    <s v="2025-09-09"/>
    <x v="8"/>
    <s v="ST024"/>
    <x v="5"/>
    <x v="0"/>
    <s v="Sydney"/>
    <s v="Bagel with Cream Cheese"/>
    <x v="3"/>
    <n v="2"/>
    <n v="3.59"/>
    <n v="7.18"/>
    <n v="0.05"/>
    <n v="0.36"/>
    <n v="6.82"/>
    <n v="2.35"/>
    <n v="4.47"/>
    <x v="1"/>
    <x v="0"/>
    <s v="In-Store"/>
    <n v="4"/>
  </r>
  <r>
    <s v="ORD500107"/>
    <s v="2025-09-10"/>
    <x v="8"/>
    <s v="ST020"/>
    <x v="0"/>
    <x v="0"/>
    <s v="Mumbai"/>
    <s v="Mocha"/>
    <x v="4"/>
    <n v="3"/>
    <n v="4.78"/>
    <n v="14.34"/>
    <n v="0"/>
    <n v="0"/>
    <n v="14.34"/>
    <n v="5.49"/>
    <n v="8.85"/>
    <x v="1"/>
    <x v="0"/>
    <s v="In-Store"/>
    <n v="4"/>
  </r>
  <r>
    <s v="ORD500269"/>
    <s v="2025-09-11"/>
    <x v="8"/>
    <s v="ST021"/>
    <x v="0"/>
    <x v="0"/>
    <s v="Delhi"/>
    <s v="Blueberry Muffin"/>
    <x v="3"/>
    <n v="5"/>
    <n v="3.48"/>
    <n v="17.399999999999999"/>
    <n v="0"/>
    <n v="0"/>
    <n v="17.399999999999999"/>
    <n v="7.09"/>
    <n v="10.31"/>
    <x v="2"/>
    <x v="3"/>
    <s v="In-Store"/>
    <n v="5"/>
  </r>
  <r>
    <s v="ORD500057"/>
    <s v="2025-09-13"/>
    <x v="8"/>
    <s v="ST019"/>
    <x v="0"/>
    <x v="0"/>
    <s v="Mumbai"/>
    <s v="Blueberry Muffin"/>
    <x v="3"/>
    <n v="1"/>
    <n v="3.44"/>
    <n v="3.44"/>
    <n v="0"/>
    <n v="0"/>
    <n v="3.44"/>
    <n v="1.36"/>
    <n v="2.08"/>
    <x v="0"/>
    <x v="0"/>
    <s v="Mobile App"/>
    <n v="5"/>
  </r>
  <r>
    <s v="ORD500493"/>
    <s v="2025-09-15"/>
    <x v="8"/>
    <s v="ST003"/>
    <x v="3"/>
    <x v="3"/>
    <s v="Los Angeles"/>
    <s v="Iced Tea"/>
    <x v="0"/>
    <n v="1"/>
    <n v="3.71"/>
    <n v="3.71"/>
    <n v="0"/>
    <n v="0"/>
    <n v="3.71"/>
    <n v="1.55"/>
    <n v="2.16"/>
    <x v="1"/>
    <x v="3"/>
    <s v="In-Store"/>
    <n v="5"/>
  </r>
  <r>
    <s v="ORD500466"/>
    <s v="2025-09-18"/>
    <x v="8"/>
    <s v="ST010"/>
    <x v="4"/>
    <x v="2"/>
    <s v="London"/>
    <s v="Caesar Salad"/>
    <x v="1"/>
    <n v="1"/>
    <n v="7.98"/>
    <n v="7.98"/>
    <n v="0"/>
    <n v="0"/>
    <n v="7.98"/>
    <n v="3.19"/>
    <n v="4.79"/>
    <x v="1"/>
    <x v="0"/>
    <s v="In-Store"/>
    <n v="3"/>
  </r>
  <r>
    <s v="ORD500086"/>
    <s v="2025-09-18"/>
    <x v="8"/>
    <s v="ST030"/>
    <x v="1"/>
    <x v="1"/>
    <s v="Abu Dhabi"/>
    <s v="Blueberry Muffin"/>
    <x v="3"/>
    <n v="3"/>
    <n v="3.52"/>
    <n v="10.56"/>
    <n v="0"/>
    <n v="0"/>
    <n v="10.56"/>
    <n v="4.28"/>
    <n v="6.28"/>
    <x v="1"/>
    <x v="0"/>
    <s v="In-Store"/>
    <n v="4"/>
  </r>
  <r>
    <s v="ORD500346"/>
    <s v="2025-09-18"/>
    <x v="8"/>
    <s v="ST022"/>
    <x v="0"/>
    <x v="0"/>
    <s v="Bengaluru"/>
    <s v="Club Sandwich"/>
    <x v="1"/>
    <n v="2"/>
    <n v="7.64"/>
    <n v="15.28"/>
    <n v="0.1"/>
    <n v="1.53"/>
    <n v="13.75"/>
    <n v="4.54"/>
    <n v="9.2100000000000009"/>
    <x v="0"/>
    <x v="1"/>
    <s v="Drive-Thru"/>
    <n v="5"/>
  </r>
  <r>
    <s v="ORD500228"/>
    <s v="2025-09-20"/>
    <x v="8"/>
    <s v="ST014"/>
    <x v="4"/>
    <x v="2"/>
    <s v="Birmingham"/>
    <s v="Avocado Toast"/>
    <x v="1"/>
    <n v="1"/>
    <n v="6.7"/>
    <n v="6.7"/>
    <n v="0"/>
    <n v="0"/>
    <n v="6.7"/>
    <n v="2.76"/>
    <n v="3.94"/>
    <x v="2"/>
    <x v="1"/>
    <s v="In-Store"/>
    <n v="3"/>
  </r>
  <r>
    <s v="ORD500355"/>
    <s v="2025-09-20"/>
    <x v="8"/>
    <s v="ST022"/>
    <x v="0"/>
    <x v="0"/>
    <s v="Bengaluru"/>
    <s v="Iced Tea"/>
    <x v="0"/>
    <n v="1"/>
    <n v="3.75"/>
    <n v="3.75"/>
    <n v="0"/>
    <n v="0"/>
    <n v="3.75"/>
    <n v="1.24"/>
    <n v="2.5099999999999998"/>
    <x v="2"/>
    <x v="0"/>
    <s v="In-Store"/>
    <n v="5"/>
  </r>
  <r>
    <s v="ORD500377"/>
    <s v="2025-09-21"/>
    <x v="8"/>
    <s v="ST009"/>
    <x v="4"/>
    <x v="2"/>
    <s v="London"/>
    <s v="Cold Brew"/>
    <x v="0"/>
    <n v="2"/>
    <n v="4.63"/>
    <n v="9.26"/>
    <n v="0"/>
    <n v="0"/>
    <n v="9.26"/>
    <n v="3.62"/>
    <n v="5.64"/>
    <x v="1"/>
    <x v="0"/>
    <s v="In-Store"/>
    <n v="4"/>
  </r>
  <r>
    <s v="ORD500394"/>
    <s v="2025-09-21"/>
    <x v="8"/>
    <s v="ST017"/>
    <x v="2"/>
    <x v="2"/>
    <s v="Munich"/>
    <s v="Caesar Salad"/>
    <x v="1"/>
    <n v="1"/>
    <n v="8.19"/>
    <n v="8.19"/>
    <n v="0"/>
    <n v="0"/>
    <n v="8.19"/>
    <n v="3.28"/>
    <n v="4.91"/>
    <x v="1"/>
    <x v="1"/>
    <s v="In-Store"/>
    <n v="3"/>
  </r>
  <r>
    <s v="ORD500137"/>
    <s v="2025-09-22"/>
    <x v="8"/>
    <s v="ST023"/>
    <x v="0"/>
    <x v="0"/>
    <s v="Bengaluru"/>
    <s v="Iced Latte"/>
    <x v="0"/>
    <n v="4"/>
    <n v="4.8899999999999997"/>
    <n v="19.559999999999999"/>
    <n v="0"/>
    <n v="0"/>
    <n v="19.559999999999999"/>
    <n v="8.17"/>
    <n v="11.39"/>
    <x v="0"/>
    <x v="1"/>
    <s v="Drive-Thru"/>
    <n v="4"/>
  </r>
  <r>
    <s v="ORD500486"/>
    <s v="2025-09-23"/>
    <x v="8"/>
    <s v="ST021"/>
    <x v="0"/>
    <x v="0"/>
    <s v="Delhi"/>
    <s v="Latte"/>
    <x v="4"/>
    <n v="2"/>
    <n v="4.33"/>
    <n v="8.66"/>
    <n v="0"/>
    <n v="0"/>
    <n v="8.66"/>
    <n v="2.79"/>
    <n v="5.87"/>
    <x v="1"/>
    <x v="2"/>
    <s v="Mobile App"/>
    <n v="4"/>
  </r>
  <r>
    <s v="ORD500415"/>
    <s v="2025-09-23"/>
    <x v="8"/>
    <s v="ST030"/>
    <x v="1"/>
    <x v="1"/>
    <s v="Abu Dhabi"/>
    <s v="Ceramic Mug"/>
    <x v="2"/>
    <n v="4"/>
    <n v="8.8800000000000008"/>
    <n v="35.520000000000003"/>
    <n v="0"/>
    <n v="0"/>
    <n v="35.520000000000003"/>
    <n v="14.14"/>
    <n v="21.38"/>
    <x v="1"/>
    <x v="3"/>
    <s v="In-Store"/>
    <n v="4"/>
  </r>
  <r>
    <s v="ORD500278"/>
    <s v="2025-09-26"/>
    <x v="8"/>
    <s v="ST027"/>
    <x v="6"/>
    <x v="3"/>
    <s v="Vancouver"/>
    <s v="Bagel with Cream Cheese"/>
    <x v="3"/>
    <n v="1"/>
    <n v="3.77"/>
    <n v="3.77"/>
    <n v="0"/>
    <n v="0"/>
    <n v="3.77"/>
    <n v="1.4"/>
    <n v="2.37"/>
    <x v="0"/>
    <x v="3"/>
    <s v="In-Store"/>
    <n v="4"/>
  </r>
  <r>
    <s v="ORD500230"/>
    <s v="2025-09-26"/>
    <x v="8"/>
    <s v="ST016"/>
    <x v="2"/>
    <x v="2"/>
    <s v="Munich"/>
    <s v="Blueberry Muffin"/>
    <x v="3"/>
    <n v="3"/>
    <n v="3.35"/>
    <n v="10.050000000000001"/>
    <n v="0"/>
    <n v="0"/>
    <n v="10.050000000000001"/>
    <n v="3.99"/>
    <n v="6.06"/>
    <x v="1"/>
    <x v="2"/>
    <s v="In-Store"/>
    <n v="5"/>
  </r>
  <r>
    <s v="ORD500291"/>
    <s v="2025-09-27"/>
    <x v="8"/>
    <s v="ST004"/>
    <x v="3"/>
    <x v="3"/>
    <s v="Chicago"/>
    <s v="Mocha"/>
    <x v="4"/>
    <n v="1"/>
    <n v="4.87"/>
    <n v="4.87"/>
    <n v="0"/>
    <n v="0"/>
    <n v="4.87"/>
    <n v="1.67"/>
    <n v="3.2"/>
    <x v="1"/>
    <x v="1"/>
    <s v="Mobile App"/>
    <n v="5"/>
  </r>
  <r>
    <s v="ORD500116"/>
    <s v="2025-09-29"/>
    <x v="8"/>
    <s v="ST024"/>
    <x v="5"/>
    <x v="0"/>
    <s v="Sydney"/>
    <s v="Cold Brew"/>
    <x v="0"/>
    <n v="2"/>
    <n v="4.38"/>
    <n v="8.76"/>
    <n v="0"/>
    <n v="0"/>
    <n v="8.76"/>
    <n v="3.38"/>
    <n v="5.38"/>
    <x v="0"/>
    <x v="0"/>
    <s v="In-Store"/>
    <n v="4"/>
  </r>
  <r>
    <s v="ORD500417"/>
    <s v="2025-10-01"/>
    <x v="9"/>
    <s v="ST029"/>
    <x v="1"/>
    <x v="1"/>
    <s v="Dubai"/>
    <s v="Caesar Salad"/>
    <x v="1"/>
    <n v="3"/>
    <n v="7.82"/>
    <n v="23.46"/>
    <n v="0"/>
    <n v="0"/>
    <n v="23.46"/>
    <n v="8.24"/>
    <n v="15.22"/>
    <x v="1"/>
    <x v="0"/>
    <s v="In-Store"/>
    <n v="4"/>
  </r>
  <r>
    <s v="ORD500293"/>
    <s v="2025-10-04"/>
    <x v="9"/>
    <s v="ST017"/>
    <x v="2"/>
    <x v="2"/>
    <s v="Munich"/>
    <s v="Avocado Toast"/>
    <x v="1"/>
    <n v="3"/>
    <n v="6.39"/>
    <n v="19.170000000000002"/>
    <n v="0"/>
    <n v="0"/>
    <n v="19.170000000000002"/>
    <n v="6.36"/>
    <n v="12.81"/>
    <x v="1"/>
    <x v="3"/>
    <s v="In-Store"/>
    <n v="4"/>
  </r>
  <r>
    <s v="ORD500317"/>
    <s v="2025-10-07"/>
    <x v="9"/>
    <s v="ST021"/>
    <x v="0"/>
    <x v="0"/>
    <s v="Delhi"/>
    <s v="Mocha"/>
    <x v="4"/>
    <n v="4"/>
    <n v="4.72"/>
    <n v="18.88"/>
    <n v="0"/>
    <n v="0"/>
    <n v="18.88"/>
    <n v="6.8"/>
    <n v="12.08"/>
    <x v="1"/>
    <x v="1"/>
    <s v="Drive-Thru"/>
    <n v="5"/>
  </r>
  <r>
    <s v="ORD500329"/>
    <s v="2025-10-07"/>
    <x v="9"/>
    <s v="ST028"/>
    <x v="1"/>
    <x v="1"/>
    <s v="Dubai"/>
    <s v="Mocha"/>
    <x v="4"/>
    <n v="1"/>
    <n v="4.78"/>
    <n v="4.78"/>
    <n v="0"/>
    <n v="0"/>
    <n v="4.78"/>
    <n v="1.73"/>
    <n v="3.05"/>
    <x v="1"/>
    <x v="1"/>
    <s v="In-Store"/>
    <n v="5"/>
  </r>
  <r>
    <s v="ORD500080"/>
    <s v="2025-10-08"/>
    <x v="9"/>
    <s v="ST012"/>
    <x v="4"/>
    <x v="2"/>
    <s v="Manchester"/>
    <s v="Chocolate Chip Cookie"/>
    <x v="3"/>
    <n v="2"/>
    <n v="2.59"/>
    <n v="5.18"/>
    <n v="0"/>
    <n v="0"/>
    <n v="5.18"/>
    <n v="2.15"/>
    <n v="3.03"/>
    <x v="1"/>
    <x v="0"/>
    <s v="Mobile App"/>
    <n v="3"/>
  </r>
  <r>
    <s v="ORD500039"/>
    <s v="2025-10-10"/>
    <x v="9"/>
    <s v="ST021"/>
    <x v="0"/>
    <x v="0"/>
    <s v="Delhi"/>
    <s v="Espresso"/>
    <x v="4"/>
    <n v="1"/>
    <n v="3.48"/>
    <n v="3.48"/>
    <n v="0"/>
    <n v="0"/>
    <n v="3.48"/>
    <n v="1.43"/>
    <n v="2.0499999999999998"/>
    <x v="2"/>
    <x v="3"/>
    <s v="In-Store"/>
    <n v="4"/>
  </r>
  <r>
    <s v="ORD500123"/>
    <s v="2025-10-12"/>
    <x v="9"/>
    <s v="ST015"/>
    <x v="2"/>
    <x v="2"/>
    <s v="Berlin"/>
    <s v="Espresso"/>
    <x v="4"/>
    <n v="3"/>
    <n v="3.65"/>
    <n v="10.95"/>
    <n v="0"/>
    <n v="0"/>
    <n v="10.95"/>
    <n v="4.01"/>
    <n v="6.94"/>
    <x v="1"/>
    <x v="3"/>
    <s v="Mobile App"/>
    <n v="5"/>
  </r>
  <r>
    <s v="ORD500047"/>
    <s v="2025-10-12"/>
    <x v="9"/>
    <s v="ST026"/>
    <x v="6"/>
    <x v="3"/>
    <s v="Toronto"/>
    <s v="Club Sandwich"/>
    <x v="1"/>
    <n v="5"/>
    <n v="7.74"/>
    <n v="38.700000000000003"/>
    <n v="0"/>
    <n v="0"/>
    <n v="38.700000000000003"/>
    <n v="14.15"/>
    <n v="24.55"/>
    <x v="0"/>
    <x v="2"/>
    <s v="Mobile App"/>
    <n v="5"/>
  </r>
  <r>
    <s v="ORD500113"/>
    <s v="2025-10-14"/>
    <x v="9"/>
    <s v="ST003"/>
    <x v="3"/>
    <x v="3"/>
    <s v="Los Angeles"/>
    <s v="Caesar Salad"/>
    <x v="1"/>
    <n v="2"/>
    <n v="7.92"/>
    <n v="15.84"/>
    <n v="0"/>
    <n v="0"/>
    <n v="15.84"/>
    <n v="5.94"/>
    <n v="9.9"/>
    <x v="0"/>
    <x v="1"/>
    <s v="Drive-Thru"/>
    <n v="1"/>
  </r>
  <r>
    <s v="ORD500145"/>
    <s v="2025-10-18"/>
    <x v="9"/>
    <s v="ST021"/>
    <x v="0"/>
    <x v="0"/>
    <s v="Delhi"/>
    <s v="Iced Tea"/>
    <x v="0"/>
    <n v="2"/>
    <n v="3.75"/>
    <n v="7.5"/>
    <n v="0.05"/>
    <n v="0.38"/>
    <n v="7.12"/>
    <n v="2.39"/>
    <n v="4.7300000000000004"/>
    <x v="0"/>
    <x v="3"/>
    <s v="Mobile App"/>
    <n v="5"/>
  </r>
  <r>
    <s v="ORD500374"/>
    <s v="2025-10-19"/>
    <x v="9"/>
    <s v="ST023"/>
    <x v="0"/>
    <x v="0"/>
    <s v="Bengaluru"/>
    <s v="Americano"/>
    <x v="4"/>
    <n v="2"/>
    <n v="3.68"/>
    <n v="7.36"/>
    <n v="0"/>
    <n v="0"/>
    <n v="7.36"/>
    <n v="2.8"/>
    <n v="4.5599999999999996"/>
    <x v="1"/>
    <x v="0"/>
    <s v="Mobile App"/>
    <n v="5"/>
  </r>
  <r>
    <s v="ORD500288"/>
    <s v="2025-10-21"/>
    <x v="9"/>
    <s v="ST023"/>
    <x v="0"/>
    <x v="0"/>
    <s v="Bengaluru"/>
    <s v="Cold Brew"/>
    <x v="0"/>
    <n v="1"/>
    <n v="4.6100000000000003"/>
    <n v="4.6100000000000003"/>
    <n v="0"/>
    <n v="0"/>
    <n v="4.6100000000000003"/>
    <n v="1.82"/>
    <n v="2.79"/>
    <x v="1"/>
    <x v="1"/>
    <s v="Drive-Thru"/>
    <n v="5"/>
  </r>
  <r>
    <s v="ORD500255"/>
    <s v="2025-10-21"/>
    <x v="9"/>
    <s v="ST002"/>
    <x v="3"/>
    <x v="3"/>
    <s v="New York"/>
    <s v="Granola Bowl"/>
    <x v="1"/>
    <n v="1"/>
    <n v="6.93"/>
    <n v="6.93"/>
    <n v="0"/>
    <n v="0"/>
    <n v="6.93"/>
    <n v="2.81"/>
    <n v="4.12"/>
    <x v="0"/>
    <x v="2"/>
    <s v="In-Store"/>
    <n v="5"/>
  </r>
  <r>
    <s v="ORD500455"/>
    <s v="2025-10-23"/>
    <x v="9"/>
    <s v="ST005"/>
    <x v="3"/>
    <x v="3"/>
    <s v="Chicago"/>
    <s v="Cappuccino"/>
    <x v="4"/>
    <n v="2"/>
    <n v="4"/>
    <n v="8"/>
    <n v="0"/>
    <n v="0"/>
    <n v="8"/>
    <n v="3.28"/>
    <n v="4.72"/>
    <x v="2"/>
    <x v="2"/>
    <s v="Mobile App"/>
    <n v="4"/>
  </r>
  <r>
    <s v="ORD500033"/>
    <s v="2025-10-25"/>
    <x v="9"/>
    <s v="ST015"/>
    <x v="2"/>
    <x v="2"/>
    <s v="Berlin"/>
    <s v="Cold Brew"/>
    <x v="0"/>
    <n v="1"/>
    <n v="4.71"/>
    <n v="4.71"/>
    <n v="0"/>
    <n v="0"/>
    <n v="4.71"/>
    <n v="1.87"/>
    <n v="2.84"/>
    <x v="1"/>
    <x v="0"/>
    <s v="Drive-Thru"/>
    <n v="1"/>
  </r>
  <r>
    <s v="ORD500016"/>
    <s v="2025-10-25"/>
    <x v="9"/>
    <s v="ST016"/>
    <x v="2"/>
    <x v="2"/>
    <s v="Munich"/>
    <s v="Latte"/>
    <x v="4"/>
    <n v="2"/>
    <n v="4.6399999999999997"/>
    <n v="9.2799999999999994"/>
    <n v="0"/>
    <n v="0"/>
    <n v="9.2799999999999994"/>
    <n v="3.53"/>
    <n v="5.75"/>
    <x v="2"/>
    <x v="0"/>
    <s v="In-Store"/>
    <n v="5"/>
  </r>
  <r>
    <s v="ORD500389"/>
    <s v="2025-10-31"/>
    <x v="9"/>
    <s v="ST007"/>
    <x v="3"/>
    <x v="3"/>
    <s v="Seattle"/>
    <s v="Bagel with Cream Cheese"/>
    <x v="3"/>
    <n v="1"/>
    <n v="3.54"/>
    <n v="3.54"/>
    <n v="0"/>
    <n v="0"/>
    <n v="3.54"/>
    <n v="1.18"/>
    <n v="2.36"/>
    <x v="0"/>
    <x v="3"/>
    <s v="In-Store"/>
    <n v="5"/>
  </r>
  <r>
    <s v="ORD500010"/>
    <s v="2025-11-01"/>
    <x v="10"/>
    <s v="ST025"/>
    <x v="5"/>
    <x v="0"/>
    <s v="Melbourne"/>
    <s v="Croissant"/>
    <x v="3"/>
    <n v="3"/>
    <n v="3.12"/>
    <n v="9.36"/>
    <n v="0"/>
    <n v="0"/>
    <n v="9.36"/>
    <n v="3.35"/>
    <n v="6.01"/>
    <x v="0"/>
    <x v="0"/>
    <s v="In-Store"/>
    <n v="3"/>
  </r>
  <r>
    <s v="ORD500436"/>
    <s v="2025-11-02"/>
    <x v="10"/>
    <s v="ST015"/>
    <x v="2"/>
    <x v="2"/>
    <s v="Berlin"/>
    <s v="Club Sandwich"/>
    <x v="1"/>
    <n v="4"/>
    <n v="8.19"/>
    <n v="32.76"/>
    <n v="0.05"/>
    <n v="1.64"/>
    <n v="31.12"/>
    <n v="11.33"/>
    <n v="19.79"/>
    <x v="0"/>
    <x v="2"/>
    <s v="Drive-Thru"/>
    <n v="5"/>
  </r>
  <r>
    <s v="ORD500235"/>
    <s v="2025-11-03"/>
    <x v="10"/>
    <s v="ST009"/>
    <x v="4"/>
    <x v="2"/>
    <s v="London"/>
    <s v="Mocha"/>
    <x v="4"/>
    <n v="1"/>
    <n v="4.59"/>
    <n v="4.59"/>
    <n v="0.1"/>
    <n v="0.46"/>
    <n v="4.13"/>
    <n v="1.44"/>
    <n v="2.69"/>
    <x v="2"/>
    <x v="0"/>
    <s v="In-Store"/>
    <n v="2"/>
  </r>
  <r>
    <s v="ORD500476"/>
    <s v="2025-11-05"/>
    <x v="10"/>
    <s v="ST002"/>
    <x v="3"/>
    <x v="3"/>
    <s v="New York"/>
    <s v="Bagel with Cream Cheese"/>
    <x v="3"/>
    <n v="3"/>
    <n v="3.6"/>
    <n v="10.8"/>
    <n v="0"/>
    <n v="0"/>
    <n v="10.8"/>
    <n v="3.5"/>
    <n v="7.3"/>
    <x v="0"/>
    <x v="2"/>
    <s v="In-Store"/>
    <n v="3"/>
  </r>
  <r>
    <s v="ORD500366"/>
    <s v="2025-11-05"/>
    <x v="10"/>
    <s v="ST011"/>
    <x v="4"/>
    <x v="2"/>
    <s v="Manchester"/>
    <s v="Latte"/>
    <x v="4"/>
    <n v="1"/>
    <n v="4.4000000000000004"/>
    <n v="4.4000000000000004"/>
    <n v="0"/>
    <n v="0"/>
    <n v="4.4000000000000004"/>
    <n v="1.51"/>
    <n v="2.89"/>
    <x v="1"/>
    <x v="0"/>
    <s v="In-Store"/>
    <n v="5"/>
  </r>
  <r>
    <s v="ORD500225"/>
    <s v="2025-11-08"/>
    <x v="10"/>
    <s v="ST026"/>
    <x v="6"/>
    <x v="3"/>
    <s v="Toronto"/>
    <s v="Tumbler"/>
    <x v="2"/>
    <n v="1"/>
    <n v="15.51"/>
    <n v="15.51"/>
    <n v="0"/>
    <n v="0"/>
    <n v="15.51"/>
    <n v="5.77"/>
    <n v="9.74"/>
    <x v="1"/>
    <x v="3"/>
    <s v="Drive-Thru"/>
    <n v="2"/>
  </r>
  <r>
    <s v="ORD500362"/>
    <s v="2025-11-08"/>
    <x v="10"/>
    <s v="ST024"/>
    <x v="5"/>
    <x v="0"/>
    <s v="Sydney"/>
    <s v="Iced Latte"/>
    <x v="0"/>
    <n v="1"/>
    <n v="4.71"/>
    <n v="4.71"/>
    <n v="0"/>
    <n v="0"/>
    <n v="4.71"/>
    <n v="1.69"/>
    <n v="3.02"/>
    <x v="1"/>
    <x v="0"/>
    <s v="Mobile App"/>
    <n v="5"/>
  </r>
  <r>
    <s v="ORD500365"/>
    <s v="2025-11-08"/>
    <x v="10"/>
    <s v="ST005"/>
    <x v="3"/>
    <x v="3"/>
    <s v="Chicago"/>
    <s v="Tumbler"/>
    <x v="2"/>
    <n v="4"/>
    <n v="14.26"/>
    <n v="57.04"/>
    <n v="0.1"/>
    <n v="5.7"/>
    <n v="51.34"/>
    <n v="20.7"/>
    <n v="30.64"/>
    <x v="0"/>
    <x v="1"/>
    <s v="Drive-Thru"/>
    <n v="5"/>
  </r>
  <r>
    <s v="ORD500315"/>
    <s v="2025-11-10"/>
    <x v="10"/>
    <s v="ST005"/>
    <x v="3"/>
    <x v="3"/>
    <s v="Chicago"/>
    <s v="Whole Bean Coffee 250g"/>
    <x v="2"/>
    <n v="1"/>
    <n v="12.97"/>
    <n v="12.97"/>
    <n v="0"/>
    <n v="0"/>
    <n v="12.97"/>
    <n v="4.96"/>
    <n v="8.01"/>
    <x v="1"/>
    <x v="2"/>
    <s v="Drive-Thru"/>
    <n v="4"/>
  </r>
  <r>
    <s v="ORD500170"/>
    <s v="2025-11-15"/>
    <x v="10"/>
    <s v="ST018"/>
    <x v="2"/>
    <x v="2"/>
    <s v="Hamburg"/>
    <s v="Avocado Toast"/>
    <x v="1"/>
    <n v="3"/>
    <n v="6.53"/>
    <n v="19.59"/>
    <n v="0.1"/>
    <n v="1.96"/>
    <n v="17.63"/>
    <n v="5.93"/>
    <n v="11.7"/>
    <x v="0"/>
    <x v="0"/>
    <s v="Drive-Thru"/>
    <n v="1"/>
  </r>
  <r>
    <s v="ORD500353"/>
    <s v="2025-11-17"/>
    <x v="10"/>
    <s v="ST021"/>
    <x v="0"/>
    <x v="0"/>
    <s v="Delhi"/>
    <s v="Latte"/>
    <x v="4"/>
    <n v="1"/>
    <n v="4.43"/>
    <n v="4.43"/>
    <n v="0"/>
    <n v="0"/>
    <n v="4.43"/>
    <n v="1.81"/>
    <n v="2.62"/>
    <x v="0"/>
    <x v="3"/>
    <s v="In-Store"/>
    <n v="5"/>
  </r>
  <r>
    <s v="ORD500073"/>
    <s v="2025-11-19"/>
    <x v="10"/>
    <s v="ST028"/>
    <x v="1"/>
    <x v="1"/>
    <s v="Dubai"/>
    <s v="Caesar Salad"/>
    <x v="1"/>
    <n v="2"/>
    <n v="8.18"/>
    <n v="16.36"/>
    <n v="0"/>
    <n v="0"/>
    <n v="16.36"/>
    <n v="6.53"/>
    <n v="9.83"/>
    <x v="1"/>
    <x v="0"/>
    <s v="In-Store"/>
    <n v="5"/>
  </r>
  <r>
    <s v="ORD500274"/>
    <s v="2025-11-19"/>
    <x v="10"/>
    <s v="ST025"/>
    <x v="5"/>
    <x v="0"/>
    <s v="Melbourne"/>
    <s v="Chocolate Chip Cookie"/>
    <x v="3"/>
    <n v="1"/>
    <n v="2.4"/>
    <n v="2.4"/>
    <n v="0.1"/>
    <n v="0.24"/>
    <n v="2.16"/>
    <n v="0.83"/>
    <n v="1.33"/>
    <x v="1"/>
    <x v="2"/>
    <s v="In-Store"/>
    <n v="4"/>
  </r>
  <r>
    <s v="ORD500070"/>
    <s v="2025-11-20"/>
    <x v="10"/>
    <s v="ST021"/>
    <x v="0"/>
    <x v="0"/>
    <s v="Delhi"/>
    <s v="Cold Brew"/>
    <x v="0"/>
    <n v="3"/>
    <n v="4.7300000000000004"/>
    <n v="14.19"/>
    <n v="0"/>
    <n v="0"/>
    <n v="14.19"/>
    <n v="5.29"/>
    <n v="8.9"/>
    <x v="2"/>
    <x v="0"/>
    <s v="Mobile App"/>
    <n v="5"/>
  </r>
  <r>
    <s v="ORD500392"/>
    <s v="2025-11-21"/>
    <x v="10"/>
    <s v="ST007"/>
    <x v="3"/>
    <x v="3"/>
    <s v="Seattle"/>
    <s v="Ceramic Mug"/>
    <x v="2"/>
    <n v="1"/>
    <n v="8.8800000000000008"/>
    <n v="8.8800000000000008"/>
    <n v="0.15"/>
    <n v="1.33"/>
    <n v="7.55"/>
    <n v="2.4300000000000002"/>
    <n v="5.12"/>
    <x v="1"/>
    <x v="2"/>
    <s v="In-Store"/>
    <n v="4"/>
  </r>
  <r>
    <s v="ORD500314"/>
    <s v="2025-11-22"/>
    <x v="10"/>
    <s v="ST019"/>
    <x v="0"/>
    <x v="0"/>
    <s v="Mumbai"/>
    <s v="Mocha"/>
    <x v="4"/>
    <n v="3"/>
    <n v="4.5599999999999996"/>
    <n v="13.68"/>
    <n v="0"/>
    <n v="0"/>
    <n v="13.68"/>
    <n v="5.63"/>
    <n v="8.0500000000000007"/>
    <x v="0"/>
    <x v="1"/>
    <s v="In-Store"/>
    <n v="5"/>
  </r>
  <r>
    <s v="ORD500049"/>
    <s v="2025-11-23"/>
    <x v="10"/>
    <s v="ST008"/>
    <x v="3"/>
    <x v="3"/>
    <s v="Seattle"/>
    <s v="Iced Tea"/>
    <x v="0"/>
    <n v="3"/>
    <n v="4.04"/>
    <n v="12.12"/>
    <n v="0.05"/>
    <n v="0.61"/>
    <n v="11.51"/>
    <n v="3.84"/>
    <n v="7.67"/>
    <x v="0"/>
    <x v="3"/>
    <s v="Mobile App"/>
    <n v="5"/>
  </r>
  <r>
    <s v="ORD500326"/>
    <s v="2025-11-24"/>
    <x v="10"/>
    <s v="ST024"/>
    <x v="5"/>
    <x v="0"/>
    <s v="Sydney"/>
    <s v="Chocolate Chip Cookie"/>
    <x v="3"/>
    <n v="1"/>
    <n v="2.42"/>
    <n v="2.42"/>
    <n v="0.05"/>
    <n v="0.12"/>
    <n v="2.2999999999999998"/>
    <n v="0.87"/>
    <n v="1.43"/>
    <x v="1"/>
    <x v="3"/>
    <s v="Drive-Thru"/>
    <n v="4"/>
  </r>
  <r>
    <s v="ORD500359"/>
    <s v="2025-11-25"/>
    <x v="10"/>
    <s v="ST018"/>
    <x v="2"/>
    <x v="2"/>
    <s v="Hamburg"/>
    <s v="Latte"/>
    <x v="4"/>
    <n v="3"/>
    <n v="4.4800000000000004"/>
    <n v="13.44"/>
    <n v="0"/>
    <n v="0"/>
    <n v="13.44"/>
    <n v="5.31"/>
    <n v="8.1300000000000008"/>
    <x v="0"/>
    <x v="1"/>
    <s v="Drive-Thru"/>
    <n v="5"/>
  </r>
  <r>
    <s v="ORD500037"/>
    <s v="2025-11-29"/>
    <x v="10"/>
    <s v="ST008"/>
    <x v="3"/>
    <x v="3"/>
    <s v="Seattle"/>
    <s v="Whole Bean Coffee 250g"/>
    <x v="2"/>
    <n v="5"/>
    <n v="12.54"/>
    <n v="62.7"/>
    <n v="0"/>
    <n v="0"/>
    <n v="62.7"/>
    <n v="25.66"/>
    <n v="37.04"/>
    <x v="1"/>
    <x v="2"/>
    <s v="Mobile App"/>
    <n v="5"/>
  </r>
  <r>
    <s v="ORD500469"/>
    <s v="2025-11-29"/>
    <x v="10"/>
    <s v="ST016"/>
    <x v="2"/>
    <x v="2"/>
    <s v="Munich"/>
    <s v="Iced Latte"/>
    <x v="0"/>
    <n v="1"/>
    <n v="4.96"/>
    <n v="4.96"/>
    <n v="0.05"/>
    <n v="0.25"/>
    <n v="4.71"/>
    <n v="1.96"/>
    <n v="2.75"/>
    <x v="2"/>
    <x v="3"/>
    <s v="In-Store"/>
    <n v="5"/>
  </r>
  <r>
    <s v="ORD500422"/>
    <s v="2025-11-29"/>
    <x v="10"/>
    <s v="ST014"/>
    <x v="4"/>
    <x v="2"/>
    <s v="Birmingham"/>
    <s v="Cold Brew"/>
    <x v="0"/>
    <n v="2"/>
    <n v="4.49"/>
    <n v="8.98"/>
    <n v="0"/>
    <n v="0"/>
    <n v="8.98"/>
    <n v="3.33"/>
    <n v="5.65"/>
    <x v="1"/>
    <x v="0"/>
    <s v="Mobile App"/>
    <n v="5"/>
  </r>
  <r>
    <s v="ORD500312"/>
    <s v="2025-11-30"/>
    <x v="10"/>
    <s v="ST023"/>
    <x v="0"/>
    <x v="0"/>
    <s v="Bengaluru"/>
    <s v="Whole Bean Coffee 250g"/>
    <x v="2"/>
    <n v="1"/>
    <n v="12.91"/>
    <n v="12.91"/>
    <n v="0"/>
    <n v="0"/>
    <n v="12.91"/>
    <n v="5.14"/>
    <n v="7.77"/>
    <x v="2"/>
    <x v="2"/>
    <s v="In-Store"/>
    <n v="5"/>
  </r>
  <r>
    <s v="ORD500300"/>
    <s v="2025-12-06"/>
    <x v="11"/>
    <s v="ST029"/>
    <x v="1"/>
    <x v="1"/>
    <s v="Dubai"/>
    <s v="Avocado Toast"/>
    <x v="1"/>
    <n v="1"/>
    <n v="6.21"/>
    <n v="6.21"/>
    <n v="0"/>
    <n v="0"/>
    <n v="6.21"/>
    <n v="2.2400000000000002"/>
    <n v="3.97"/>
    <x v="2"/>
    <x v="0"/>
    <s v="Drive-Thru"/>
    <n v="4"/>
  </r>
  <r>
    <s v="ORD500396"/>
    <s v="2025-12-07"/>
    <x v="11"/>
    <s v="ST021"/>
    <x v="0"/>
    <x v="0"/>
    <s v="Delhi"/>
    <s v="Tumbler"/>
    <x v="2"/>
    <n v="1"/>
    <n v="14.53"/>
    <n v="14.53"/>
    <n v="0"/>
    <n v="0"/>
    <n v="14.53"/>
    <n v="4.7300000000000004"/>
    <n v="9.8000000000000007"/>
    <x v="0"/>
    <x v="1"/>
    <s v="In-Store"/>
    <n v="4"/>
  </r>
  <r>
    <s v="ORD500208"/>
    <s v="2025-12-11"/>
    <x v="11"/>
    <s v="ST028"/>
    <x v="1"/>
    <x v="1"/>
    <s v="Dubai"/>
    <s v="Iced Latte"/>
    <x v="0"/>
    <n v="2"/>
    <n v="4.74"/>
    <n v="9.48"/>
    <n v="0"/>
    <n v="0"/>
    <n v="9.48"/>
    <n v="3.14"/>
    <n v="6.34"/>
    <x v="0"/>
    <x v="0"/>
    <s v="Drive-Thru"/>
    <n v="4"/>
  </r>
  <r>
    <s v="ORD500167"/>
    <s v="2025-12-16"/>
    <x v="11"/>
    <s v="ST008"/>
    <x v="3"/>
    <x v="3"/>
    <s v="Seattle"/>
    <s v="Frappe"/>
    <x v="0"/>
    <n v="2"/>
    <n v="5.38"/>
    <n v="10.76"/>
    <n v="0"/>
    <n v="0"/>
    <n v="10.76"/>
    <n v="3.83"/>
    <n v="6.93"/>
    <x v="0"/>
    <x v="0"/>
    <s v="In-Store"/>
    <n v="2"/>
  </r>
  <r>
    <s v="ORD500260"/>
    <s v="2025-12-17"/>
    <x v="11"/>
    <s v="ST012"/>
    <x v="4"/>
    <x v="2"/>
    <s v="Manchester"/>
    <s v="Whole Bean Coffee 250g"/>
    <x v="2"/>
    <n v="1"/>
    <n v="12.28"/>
    <n v="12.28"/>
    <n v="0"/>
    <n v="0"/>
    <n v="12.28"/>
    <n v="4.0999999999999996"/>
    <n v="8.18"/>
    <x v="0"/>
    <x v="0"/>
    <s v="Drive-Thru"/>
    <n v="5"/>
  </r>
  <r>
    <s v="ORD500229"/>
    <s v="2025-12-19"/>
    <x v="11"/>
    <s v="ST001"/>
    <x v="3"/>
    <x v="3"/>
    <s v="New York"/>
    <s v="Iced Latte"/>
    <x v="0"/>
    <n v="1"/>
    <n v="4.7"/>
    <n v="4.7"/>
    <n v="0"/>
    <n v="0"/>
    <n v="4.7"/>
    <n v="1.69"/>
    <n v="3.01"/>
    <x v="0"/>
    <x v="2"/>
    <s v="Mobile App"/>
    <n v="5"/>
  </r>
  <r>
    <s v="ORD500249"/>
    <s v="2025-12-24"/>
    <x v="11"/>
    <s v="ST009"/>
    <x v="4"/>
    <x v="2"/>
    <s v="London"/>
    <s v="Caesar Salad"/>
    <x v="1"/>
    <n v="1"/>
    <n v="8.5299999999999994"/>
    <n v="8.5299999999999994"/>
    <n v="0.05"/>
    <n v="0.43"/>
    <n v="8.1"/>
    <n v="2.94"/>
    <n v="5.16"/>
    <x v="0"/>
    <x v="2"/>
    <s v="Drive-Thru"/>
    <n v="4"/>
  </r>
  <r>
    <s v="ORD500124"/>
    <s v="2025-12-25"/>
    <x v="11"/>
    <s v="ST030"/>
    <x v="1"/>
    <x v="1"/>
    <s v="Abu Dhabi"/>
    <s v="Cold Brew"/>
    <x v="0"/>
    <n v="2"/>
    <n v="4.5199999999999996"/>
    <n v="9.0399999999999991"/>
    <n v="0"/>
    <n v="0"/>
    <n v="9.0399999999999991"/>
    <n v="3.76"/>
    <n v="5.28"/>
    <x v="1"/>
    <x v="2"/>
    <s v="In-Store"/>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1D57B2-0730-429F-83F6-9B9736A15E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E95" firstHeaderRow="0" firstDataRow="1" firstDataCol="1"/>
  <pivotFields count="21">
    <pivotField dataField="1" showAll="0"/>
    <pivotField showAll="0"/>
    <pivotField showAll="0"/>
    <pivotField showAll="0"/>
    <pivotField axis="axisRow" showAll="0">
      <items count="8">
        <item x="5"/>
        <item x="6"/>
        <item x="2"/>
        <item x="0"/>
        <item x="1"/>
        <item x="4"/>
        <item x="3"/>
        <item t="default"/>
      </items>
    </pivotField>
    <pivotField showAll="0">
      <items count="5">
        <item x="0"/>
        <item x="2"/>
        <item x="1"/>
        <item x="3"/>
        <item t="default"/>
      </items>
    </pivotField>
    <pivotField showAll="0"/>
    <pivotField showAll="0"/>
    <pivotField showAll="0">
      <items count="6">
        <item x="3"/>
        <item x="0"/>
        <item x="1"/>
        <item x="4"/>
        <item x="2"/>
        <item t="default"/>
      </items>
    </pivotField>
    <pivotField showAll="0"/>
    <pivotField numFmtId="164" showAll="0"/>
    <pivotField numFmtId="164" showAll="0"/>
    <pivotField numFmtId="9" showAll="0"/>
    <pivotField numFmtId="164" showAll="0"/>
    <pivotField dataField="1" numFmtId="164" showAll="0"/>
    <pivotField numFmtId="164" showAll="0"/>
    <pivotField dataField="1" numFmtId="164" showAll="0"/>
    <pivotField showAll="0">
      <items count="4">
        <item x="2"/>
        <item x="1"/>
        <item x="0"/>
        <item t="default"/>
      </items>
    </pivotField>
    <pivotField showAll="0">
      <items count="5">
        <item x="3"/>
        <item x="0"/>
        <item x="1"/>
        <item x="2"/>
        <item t="default"/>
      </items>
    </pivotField>
    <pivotField showAll="0"/>
    <pivotField dataField="1" showAll="0"/>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Net Sales" fld="14" baseField="0" baseItem="0" numFmtId="164"/>
    <dataField name="Sum of Profit" fld="16" baseField="0" baseItem="0" numFmtId="164"/>
    <dataField name="Count of Order ID" fld="0" subtotal="count" baseField="0" baseItem="0"/>
    <dataField name="Average of Customer Rating" fld="20"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43160B-F4E4-4706-8CF5-ECBCC55DD5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4:B49" firstHeaderRow="1" firstDataRow="1" firstDataCol="1"/>
  <pivotFields count="21">
    <pivotField showAll="0"/>
    <pivotField showAll="0"/>
    <pivotField showAll="0"/>
    <pivotField showAll="0"/>
    <pivotField showAll="0">
      <items count="8">
        <item x="5"/>
        <item x="6"/>
        <item x="2"/>
        <item x="0"/>
        <item x="1"/>
        <item x="4"/>
        <item x="3"/>
        <item t="default"/>
      </items>
    </pivotField>
    <pivotField axis="axisRow" showAll="0">
      <items count="5">
        <item x="0"/>
        <item x="2"/>
        <item x="1"/>
        <item x="3"/>
        <item t="default"/>
      </items>
    </pivotField>
    <pivotField showAll="0"/>
    <pivotField showAll="0"/>
    <pivotField showAll="0">
      <items count="6">
        <item x="3"/>
        <item x="0"/>
        <item x="1"/>
        <item x="4"/>
        <item x="2"/>
        <item t="default"/>
      </items>
    </pivotField>
    <pivotField showAll="0"/>
    <pivotField numFmtId="164" showAll="0"/>
    <pivotField numFmtId="164" showAll="0"/>
    <pivotField numFmtId="9" showAll="0"/>
    <pivotField numFmtId="164" showAll="0"/>
    <pivotField dataField="1" numFmtId="164" showAll="0"/>
    <pivotField numFmtId="164" showAll="0"/>
    <pivotField numFmtId="164" showAll="0"/>
    <pivotField showAll="0">
      <items count="4">
        <item x="2"/>
        <item x="1"/>
        <item x="0"/>
        <item t="default"/>
      </items>
    </pivotField>
    <pivotField showAll="0">
      <items count="5">
        <item x="3"/>
        <item x="0"/>
        <item x="1"/>
        <item x="2"/>
        <item t="default"/>
      </items>
    </pivotField>
    <pivotField showAll="0"/>
    <pivotField showAll="0"/>
  </pivotFields>
  <rowFields count="1">
    <field x="5"/>
  </rowFields>
  <rowItems count="5">
    <i>
      <x/>
    </i>
    <i>
      <x v="1"/>
    </i>
    <i>
      <x v="2"/>
    </i>
    <i>
      <x v="3"/>
    </i>
    <i t="grand">
      <x/>
    </i>
  </rowItems>
  <colItems count="1">
    <i/>
  </colItems>
  <dataFields count="1">
    <dataField name="Sum of Net Sales" fld="14" baseField="0" baseItem="0" numFmtId="164"/>
  </dataFields>
  <chartFormats count="8">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5" count="1" selected="0">
            <x v="3"/>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5" count="1" selected="0">
            <x v="3"/>
          </reference>
        </references>
      </pivotArea>
    </chartFormat>
    <chartFormat chart="0" format="19" series="1">
      <pivotArea type="data" outline="0" fieldPosition="0">
        <references count="1">
          <reference field="4294967294" count="1" selected="0">
            <x v="0"/>
          </reference>
        </references>
      </pivotArea>
    </chartFormat>
    <chartFormat chart="0" format="20">
      <pivotArea type="data" outline="0" fieldPosition="0">
        <references count="2">
          <reference field="4294967294" count="1" selected="0">
            <x v="0"/>
          </reference>
          <reference field="5" count="1" selected="0">
            <x v="3"/>
          </reference>
        </references>
      </pivotArea>
    </chartFormat>
    <chartFormat chart="9" format="23" series="1">
      <pivotArea type="data" outline="0" fieldPosition="0">
        <references count="1">
          <reference field="4294967294" count="1" selected="0">
            <x v="0"/>
          </reference>
        </references>
      </pivotArea>
    </chartFormat>
    <chartFormat chart="9" format="2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445369-6862-4E87-A40D-8C9F7A4175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7:B33" firstHeaderRow="1" firstDataRow="1" firstDataCol="1"/>
  <pivotFields count="21">
    <pivotField showAll="0"/>
    <pivotField showAll="0"/>
    <pivotField showAll="0"/>
    <pivotField showAll="0"/>
    <pivotField showAll="0">
      <items count="8">
        <item x="5"/>
        <item x="6"/>
        <item x="2"/>
        <item x="0"/>
        <item x="1"/>
        <item x="4"/>
        <item x="3"/>
        <item t="default"/>
      </items>
    </pivotField>
    <pivotField showAll="0">
      <items count="5">
        <item x="0"/>
        <item x="2"/>
        <item x="1"/>
        <item x="3"/>
        <item t="default"/>
      </items>
    </pivotField>
    <pivotField showAll="0"/>
    <pivotField showAll="0"/>
    <pivotField axis="axisRow" showAll="0">
      <items count="6">
        <item x="3"/>
        <item x="0"/>
        <item x="1"/>
        <item x="4"/>
        <item x="2"/>
        <item t="default"/>
      </items>
    </pivotField>
    <pivotField showAll="0"/>
    <pivotField numFmtId="164" showAll="0"/>
    <pivotField numFmtId="164" showAll="0"/>
    <pivotField numFmtId="9" showAll="0"/>
    <pivotField numFmtId="164" showAll="0"/>
    <pivotField numFmtId="164" showAll="0"/>
    <pivotField numFmtId="164" showAll="0"/>
    <pivotField dataField="1" numFmtId="164" showAll="0"/>
    <pivotField showAll="0">
      <items count="4">
        <item x="2"/>
        <item x="1"/>
        <item x="0"/>
        <item t="default"/>
      </items>
    </pivotField>
    <pivotField showAll="0">
      <items count="5">
        <item x="3"/>
        <item x="0"/>
        <item x="1"/>
        <item x="2"/>
        <item t="default"/>
      </items>
    </pivotField>
    <pivotField showAll="0"/>
    <pivotField showAll="0"/>
  </pivotFields>
  <rowFields count="1">
    <field x="8"/>
  </rowFields>
  <rowItems count="6">
    <i>
      <x/>
    </i>
    <i>
      <x v="1"/>
    </i>
    <i>
      <x v="2"/>
    </i>
    <i>
      <x v="3"/>
    </i>
    <i>
      <x v="4"/>
    </i>
    <i t="grand">
      <x/>
    </i>
  </rowItems>
  <colItems count="1">
    <i/>
  </colItems>
  <dataFields count="1">
    <dataField name="Sum of Profit" fld="16" baseField="0" baseItem="0" numFmtId="164"/>
  </dataFields>
  <chartFormats count="3">
    <chartFormat chart="0"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C4A7BB-0EAF-4DF8-8858-9C19EBC130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0:B23" firstHeaderRow="1" firstDataRow="1" firstDataCol="1"/>
  <pivotFields count="21">
    <pivotField showAll="0"/>
    <pivotField showAll="0"/>
    <pivotField axis="axisRow" showAll="0">
      <items count="13">
        <item x="0"/>
        <item x="1"/>
        <item x="2"/>
        <item x="3"/>
        <item x="4"/>
        <item x="5"/>
        <item x="6"/>
        <item x="7"/>
        <item x="8"/>
        <item x="9"/>
        <item x="10"/>
        <item x="11"/>
        <item t="default"/>
      </items>
    </pivotField>
    <pivotField showAll="0"/>
    <pivotField showAll="0">
      <items count="8">
        <item x="5"/>
        <item x="6"/>
        <item x="2"/>
        <item x="0"/>
        <item x="1"/>
        <item x="4"/>
        <item x="3"/>
        <item t="default"/>
      </items>
    </pivotField>
    <pivotField showAll="0">
      <items count="5">
        <item x="0"/>
        <item x="2"/>
        <item x="1"/>
        <item x="3"/>
        <item t="default"/>
      </items>
    </pivotField>
    <pivotField showAll="0"/>
    <pivotField showAll="0"/>
    <pivotField showAll="0">
      <items count="6">
        <item x="3"/>
        <item x="0"/>
        <item x="1"/>
        <item x="4"/>
        <item x="2"/>
        <item t="default"/>
      </items>
    </pivotField>
    <pivotField showAll="0"/>
    <pivotField numFmtId="164" showAll="0"/>
    <pivotField numFmtId="164" showAll="0"/>
    <pivotField numFmtId="9" showAll="0"/>
    <pivotField numFmtId="164" showAll="0"/>
    <pivotField dataField="1" numFmtId="164" showAll="0"/>
    <pivotField numFmtId="164" showAll="0"/>
    <pivotField numFmtId="164" showAll="0"/>
    <pivotField showAll="0">
      <items count="4">
        <item x="2"/>
        <item x="1"/>
        <item x="0"/>
        <item t="default"/>
      </items>
    </pivotField>
    <pivotField showAll="0">
      <items count="5">
        <item x="3"/>
        <item x="0"/>
        <item x="1"/>
        <item x="2"/>
        <item t="default"/>
      </items>
    </pivotField>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Net Sales" fld="14" baseField="0" baseItem="0" numFmtId="164"/>
  </dataFields>
  <chartFormats count="3">
    <chartFormat chart="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66C29F-9172-48E9-93AB-AA9A1E14420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1:B66" firstHeaderRow="1" firstDataRow="1" firstDataCol="1"/>
  <pivotFields count="21">
    <pivotField showAll="0"/>
    <pivotField showAll="0"/>
    <pivotField showAll="0"/>
    <pivotField showAll="0"/>
    <pivotField showAll="0">
      <items count="8">
        <item x="5"/>
        <item x="6"/>
        <item x="2"/>
        <item x="0"/>
        <item x="1"/>
        <item x="4"/>
        <item x="3"/>
        <item t="default"/>
      </items>
    </pivotField>
    <pivotField showAll="0">
      <items count="5">
        <item x="0"/>
        <item x="2"/>
        <item x="1"/>
        <item x="3"/>
        <item t="default"/>
      </items>
    </pivotField>
    <pivotField showAll="0"/>
    <pivotField showAll="0"/>
    <pivotField showAll="0">
      <items count="6">
        <item x="3"/>
        <item x="0"/>
        <item x="1"/>
        <item x="4"/>
        <item x="2"/>
        <item t="default"/>
      </items>
    </pivotField>
    <pivotField showAll="0"/>
    <pivotField numFmtId="164" showAll="0"/>
    <pivotField numFmtId="164" showAll="0"/>
    <pivotField numFmtId="9" showAll="0"/>
    <pivotField numFmtId="164" showAll="0"/>
    <pivotField dataField="1" numFmtId="164" showAll="0"/>
    <pivotField numFmtId="164" showAll="0"/>
    <pivotField numFmtId="164" showAll="0"/>
    <pivotField showAll="0">
      <items count="4">
        <item x="2"/>
        <item x="1"/>
        <item x="0"/>
        <item t="default"/>
      </items>
    </pivotField>
    <pivotField axis="axisRow" showAll="0">
      <items count="5">
        <item x="3"/>
        <item x="0"/>
        <item x="1"/>
        <item x="2"/>
        <item t="default"/>
      </items>
    </pivotField>
    <pivotField showAll="0"/>
    <pivotField showAll="0"/>
  </pivotFields>
  <rowFields count="1">
    <field x="18"/>
  </rowFields>
  <rowItems count="5">
    <i>
      <x/>
    </i>
    <i>
      <x v="1"/>
    </i>
    <i>
      <x v="2"/>
    </i>
    <i>
      <x v="3"/>
    </i>
    <i t="grand">
      <x/>
    </i>
  </rowItems>
  <colItems count="1">
    <i/>
  </colItems>
  <dataFields count="1">
    <dataField name="Sum of Net Sales" fld="14"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8" count="1" selected="0">
            <x v="0"/>
          </reference>
        </references>
      </pivotArea>
    </chartFormat>
    <chartFormat chart="7" format="12">
      <pivotArea type="data" outline="0" fieldPosition="0">
        <references count="2">
          <reference field="4294967294" count="1" selected="0">
            <x v="0"/>
          </reference>
          <reference field="18" count="1" selected="0">
            <x v="1"/>
          </reference>
        </references>
      </pivotArea>
    </chartFormat>
    <chartFormat chart="7" format="13">
      <pivotArea type="data" outline="0" fieldPosition="0">
        <references count="2">
          <reference field="4294967294" count="1" selected="0">
            <x v="0"/>
          </reference>
          <reference field="18" count="1" selected="0">
            <x v="2"/>
          </reference>
        </references>
      </pivotArea>
    </chartFormat>
    <chartFormat chart="7" format="1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38D76EC-A882-4755-80C4-BF86DCC5BCDD}" sourceName="Category">
  <pivotTables>
    <pivotTable tabId="4" name="PivotTable2"/>
    <pivotTable tabId="4" name="PivotTable1"/>
    <pivotTable tabId="4" name="PivotTable7"/>
    <pivotTable tabId="4" name="PivotTable8"/>
    <pivotTable tabId="4" name="PivotTable9"/>
  </pivotTables>
  <data>
    <tabular pivotCacheId="102089687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DBBE72D2-5BF3-473E-B2AE-864EA1FCF621}" sourceName="Country">
  <pivotTables>
    <pivotTable tabId="4" name="PivotTable2"/>
    <pivotTable tabId="4" name="PivotTable1"/>
    <pivotTable tabId="4" name="PivotTable7"/>
    <pivotTable tabId="4" name="PivotTable8"/>
    <pivotTable tabId="4" name="PivotTable9"/>
  </pivotTables>
  <data>
    <tabular pivotCacheId="1020896871">
      <items count="7">
        <i x="5" s="1"/>
        <i x="6" s="1"/>
        <i x="2" s="1"/>
        <i x="0"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B20DB929-21FE-46B6-8644-2BDD977B1C49}" sourceName="Payment Method">
  <pivotTables>
    <pivotTable tabId="4" name="PivotTable2"/>
    <pivotTable tabId="4" name="PivotTable1"/>
    <pivotTable tabId="4" name="PivotTable7"/>
    <pivotTable tabId="4" name="PivotTable8"/>
    <pivotTable tabId="4" name="PivotTable9"/>
  </pivotTables>
  <data>
    <tabular pivotCacheId="1020896871">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3C1879-F0B4-478E-AA49-E2592818AC74}" sourceName="Region">
  <pivotTables>
    <pivotTable tabId="4" name="PivotTable7"/>
    <pivotTable tabId="4" name="PivotTable1"/>
    <pivotTable tabId="4" name="PivotTable2"/>
    <pivotTable tabId="4" name="PivotTable8"/>
    <pivotTable tabId="4" name="PivotTable9"/>
  </pivotTables>
  <data>
    <tabular pivotCacheId="1020896871">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4ED4565-E493-4819-B8CE-5A2E76E8A75C}" sourceName="Customer Type">
  <pivotTables>
    <pivotTable tabId="4" name="PivotTable7"/>
    <pivotTable tabId="4" name="PivotTable1"/>
    <pivotTable tabId="4" name="PivotTable2"/>
    <pivotTable tabId="4" name="PivotTable8"/>
    <pivotTable tabId="4" name="PivotTable9"/>
  </pivotTables>
  <data>
    <tabular pivotCacheId="102089687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44677184-6937-4BE7-9922-2812FA74ABE8}" cache="Slicer_Category1" caption="Category" style="SlicerStyleLight1" rowHeight="241300"/>
  <slicer name="Region" xr10:uid="{DD612C39-EF10-4B75-9B68-95D55D7D7528}" cache="Slicer_Region" caption="Region" style="SlicerStyleLight1" rowHeight="241300"/>
  <slicer name="Customer Type" xr10:uid="{4CA5B1D8-44B8-4B49-B234-FCC72418214E}" cache="Slicer_Customer_Type" caption="Customer Type"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2A5C93B9-8BE8-49EA-A958-56D1EA7555C1}" cache="Slicer_Category1" caption="Category" style="SlicerStyleOther2" rowHeight="540000"/>
  <slicer name="Country 2" xr10:uid="{252F9805-6FE9-4CCA-8B5B-67E825FAF852}" cache="Slicer_Country1" caption="Country" style="SlicerStyleOther2" rowHeight="612000"/>
  <slicer name="Payment Method 2" xr10:uid="{44FF3408-E748-4C23-B193-25CFA497158B}" cache="Slicer_Payment_Method1" caption="Payment Method" style="SlicerStyleOther2" rowHeight="504000"/>
  <slicer name="Region 1" xr10:uid="{5DED394D-5DD0-4034-AC95-290D69ECB33D}" cache="Slicer_Region" caption="Region" style="SlicerStyleOther2" rowHeight="432000"/>
  <slicer name="Customer Type 1" xr10:uid="{44FCB722-EB5C-4D13-B5EA-74B4DC21BBBD}" cache="Slicer_Customer_Type" caption="Customer Type" style="SlicerStyleOther2"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nsactionsTable500" displayName="TransactionsTable500" ref="A1:U501">
  <autoFilter ref="A1:U501" xr:uid="{00000000-0009-0000-0100-000001000000}"/>
  <tableColumns count="21">
    <tableColumn id="1" xr3:uid="{00000000-0010-0000-0000-000001000000}" name="Order ID"/>
    <tableColumn id="2" xr3:uid="{00000000-0010-0000-0000-000002000000}" name="Order Date"/>
    <tableColumn id="21" xr3:uid="{37ACC654-7008-4C4C-84B1-12FB1EEEA4BF}" name="month_order" dataDxfId="3">
      <calculatedColumnFormula>TEXT(TransactionsTable500[[#This Row],[Order Date]],"mmm")</calculatedColumnFormula>
    </tableColumn>
    <tableColumn id="3" xr3:uid="{00000000-0010-0000-0000-000003000000}" name="Store ID"/>
    <tableColumn id="4" xr3:uid="{00000000-0010-0000-0000-000004000000}" name="Country"/>
    <tableColumn id="5" xr3:uid="{00000000-0010-0000-0000-000005000000}" name="Region"/>
    <tableColumn id="6" xr3:uid="{00000000-0010-0000-0000-000006000000}" name="City"/>
    <tableColumn id="7" xr3:uid="{00000000-0010-0000-0000-000007000000}" name="Product"/>
    <tableColumn id="8" xr3:uid="{00000000-0010-0000-0000-000008000000}" name="Category"/>
    <tableColumn id="9" xr3:uid="{00000000-0010-0000-0000-000009000000}" name="Units Sold"/>
    <tableColumn id="10" xr3:uid="{00000000-0010-0000-0000-00000A000000}" name="Unit Price"/>
    <tableColumn id="11" xr3:uid="{00000000-0010-0000-0000-00000B000000}" name="Gross Sales"/>
    <tableColumn id="12" xr3:uid="{00000000-0010-0000-0000-00000C000000}" name="Discount %"/>
    <tableColumn id="13" xr3:uid="{00000000-0010-0000-0000-00000D000000}" name="Discount Amount"/>
    <tableColumn id="14" xr3:uid="{00000000-0010-0000-0000-00000E000000}" name="Net Sales"/>
    <tableColumn id="15" xr3:uid="{00000000-0010-0000-0000-00000F000000}" name="COGS"/>
    <tableColumn id="16" xr3:uid="{00000000-0010-0000-0000-000010000000}" name="Profit"/>
    <tableColumn id="17" xr3:uid="{00000000-0010-0000-0000-000011000000}" name="Customer Type"/>
    <tableColumn id="18" xr3:uid="{00000000-0010-0000-0000-000012000000}" name="Payment Method"/>
    <tableColumn id="19" xr3:uid="{00000000-0010-0000-0000-000013000000}" name="Order Channel"/>
    <tableColumn id="20" xr3:uid="{00000000-0010-0000-0000-000014000000}" name="Customer 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01"/>
  <sheetViews>
    <sheetView topLeftCell="N1" zoomScale="85" zoomScaleNormal="85" workbookViewId="0">
      <pane ySplit="1" topLeftCell="A2" activePane="bottomLeft" state="frozen"/>
      <selection pane="bottomLeft" activeCell="X8" sqref="X8"/>
    </sheetView>
  </sheetViews>
  <sheetFormatPr defaultRowHeight="15" x14ac:dyDescent="0.25"/>
  <cols>
    <col min="1" max="3" width="12" customWidth="1"/>
    <col min="4" max="4" width="10" customWidth="1"/>
    <col min="5" max="5" width="12" customWidth="1"/>
    <col min="6" max="7" width="14" customWidth="1"/>
    <col min="8" max="8" width="22" customWidth="1"/>
    <col min="9" max="9" width="13.7109375" bestFit="1" customWidth="1"/>
    <col min="10" max="10" width="14.7109375" bestFit="1" customWidth="1"/>
    <col min="11" max="11" width="14.42578125" bestFit="1" customWidth="1"/>
    <col min="12" max="12" width="16.140625" bestFit="1" customWidth="1"/>
    <col min="13" max="13" width="15.28515625" bestFit="1" customWidth="1"/>
    <col min="14" max="14" width="21" bestFit="1" customWidth="1"/>
    <col min="15" max="15" width="14.140625" bestFit="1" customWidth="1"/>
    <col min="16" max="16" width="11" bestFit="1" customWidth="1"/>
    <col min="17" max="17" width="10.42578125" bestFit="1" customWidth="1"/>
    <col min="18" max="18" width="19.28515625" bestFit="1" customWidth="1"/>
    <col min="19" max="19" width="21" bestFit="1" customWidth="1"/>
    <col min="20" max="20" width="19" bestFit="1" customWidth="1"/>
    <col min="21" max="21" width="20.7109375" bestFit="1" customWidth="1"/>
  </cols>
  <sheetData>
    <row r="1" spans="1:24" x14ac:dyDescent="0.25">
      <c r="A1" s="1" t="s">
        <v>0</v>
      </c>
      <c r="B1" s="1" t="s">
        <v>1</v>
      </c>
      <c r="C1" s="1" t="s">
        <v>1018</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4" x14ac:dyDescent="0.25">
      <c r="A2" s="2" t="s">
        <v>20</v>
      </c>
      <c r="B2" s="2" t="s">
        <v>21</v>
      </c>
      <c r="C2" s="2" t="str">
        <f>TEXT(TransactionsTable500[[#This Row],[Order Date]],"mmm")</f>
        <v>Jan</v>
      </c>
      <c r="D2" s="2" t="s">
        <v>22</v>
      </c>
      <c r="E2" s="2" t="s">
        <v>23</v>
      </c>
      <c r="F2" s="2" t="s">
        <v>24</v>
      </c>
      <c r="G2" s="2" t="s">
        <v>25</v>
      </c>
      <c r="H2" s="2" t="s">
        <v>26</v>
      </c>
      <c r="I2" s="2" t="s">
        <v>27</v>
      </c>
      <c r="J2" s="2">
        <v>3</v>
      </c>
      <c r="K2" s="3">
        <v>4.97</v>
      </c>
      <c r="L2" s="3">
        <v>14.91</v>
      </c>
      <c r="M2" s="4">
        <f>TransactionsTable500[[#This Row],[Net Sales]]*10%</f>
        <v>1.4910000000000001</v>
      </c>
      <c r="N2" s="3">
        <v>0</v>
      </c>
      <c r="O2" s="3">
        <v>14.91</v>
      </c>
      <c r="P2" s="3">
        <v>6.21</v>
      </c>
      <c r="Q2" s="3">
        <v>8.6999999999999993</v>
      </c>
      <c r="R2" s="2" t="s">
        <v>28</v>
      </c>
      <c r="S2" s="2" t="s">
        <v>29</v>
      </c>
      <c r="T2" s="2" t="s">
        <v>30</v>
      </c>
      <c r="U2" s="2">
        <v>3</v>
      </c>
    </row>
    <row r="3" spans="1:24" x14ac:dyDescent="0.25">
      <c r="A3" s="2" t="s">
        <v>31</v>
      </c>
      <c r="B3" s="2" t="s">
        <v>21</v>
      </c>
      <c r="C3" s="2" t="str">
        <f>TEXT(TransactionsTable500[[#This Row],[Order Date]],"mmm")</f>
        <v>Jan</v>
      </c>
      <c r="D3" s="2" t="s">
        <v>32</v>
      </c>
      <c r="E3" s="2" t="s">
        <v>33</v>
      </c>
      <c r="F3" s="2" t="s">
        <v>34</v>
      </c>
      <c r="G3" s="2" t="s">
        <v>35</v>
      </c>
      <c r="H3" s="2" t="s">
        <v>26</v>
      </c>
      <c r="I3" s="2" t="s">
        <v>27</v>
      </c>
      <c r="J3" s="2">
        <v>3</v>
      </c>
      <c r="K3" s="3">
        <v>5.21</v>
      </c>
      <c r="L3" s="3">
        <v>15.63</v>
      </c>
      <c r="M3" s="4">
        <v>0</v>
      </c>
      <c r="N3" s="3">
        <v>0</v>
      </c>
      <c r="O3" s="3">
        <v>15.63</v>
      </c>
      <c r="P3" s="3">
        <v>6.35</v>
      </c>
      <c r="Q3" s="3">
        <v>9.2799999999999994</v>
      </c>
      <c r="R3" s="2" t="s">
        <v>28</v>
      </c>
      <c r="S3" s="2" t="s">
        <v>36</v>
      </c>
      <c r="T3" s="2" t="s">
        <v>37</v>
      </c>
      <c r="U3" s="2">
        <v>4</v>
      </c>
    </row>
    <row r="4" spans="1:24" x14ac:dyDescent="0.25">
      <c r="A4" s="2" t="s">
        <v>38</v>
      </c>
      <c r="B4" s="2" t="s">
        <v>39</v>
      </c>
      <c r="C4" s="2" t="str">
        <f>TEXT(TransactionsTable500[[#This Row],[Order Date]],"mmm")</f>
        <v>Jan</v>
      </c>
      <c r="D4" s="2" t="s">
        <v>40</v>
      </c>
      <c r="E4" s="2" t="s">
        <v>33</v>
      </c>
      <c r="F4" s="2" t="s">
        <v>34</v>
      </c>
      <c r="G4" s="2" t="s">
        <v>35</v>
      </c>
      <c r="H4" s="2" t="s">
        <v>26</v>
      </c>
      <c r="I4" s="2" t="s">
        <v>27</v>
      </c>
      <c r="J4" s="2">
        <v>1</v>
      </c>
      <c r="K4" s="3">
        <v>4.95</v>
      </c>
      <c r="L4" s="3">
        <v>4.95</v>
      </c>
      <c r="M4" s="4">
        <v>0</v>
      </c>
      <c r="N4" s="3">
        <v>0</v>
      </c>
      <c r="O4" s="3">
        <v>4.95</v>
      </c>
      <c r="P4" s="3">
        <v>1.68</v>
      </c>
      <c r="Q4" s="3">
        <v>3.27</v>
      </c>
      <c r="R4" s="2" t="s">
        <v>28</v>
      </c>
      <c r="S4" s="2" t="s">
        <v>29</v>
      </c>
      <c r="T4" s="2" t="s">
        <v>30</v>
      </c>
      <c r="U4" s="2">
        <v>1</v>
      </c>
    </row>
    <row r="5" spans="1:24" x14ac:dyDescent="0.25">
      <c r="A5" s="2" t="s">
        <v>41</v>
      </c>
      <c r="B5" s="2" t="s">
        <v>39</v>
      </c>
      <c r="C5" s="2" t="str">
        <f>TEXT(TransactionsTable500[[#This Row],[Order Date]],"mmm")</f>
        <v>Jan</v>
      </c>
      <c r="D5" s="2" t="s">
        <v>42</v>
      </c>
      <c r="E5" s="2" t="s">
        <v>43</v>
      </c>
      <c r="F5" s="2" t="s">
        <v>44</v>
      </c>
      <c r="G5" s="2" t="s">
        <v>45</v>
      </c>
      <c r="H5" s="2" t="s">
        <v>46</v>
      </c>
      <c r="I5" s="2" t="s">
        <v>47</v>
      </c>
      <c r="J5" s="2">
        <v>1</v>
      </c>
      <c r="K5" s="3">
        <v>8.59</v>
      </c>
      <c r="L5" s="3">
        <v>8.59</v>
      </c>
      <c r="M5" s="4">
        <v>0.1</v>
      </c>
      <c r="N5" s="3">
        <v>0.86</v>
      </c>
      <c r="O5" s="3">
        <v>7.73</v>
      </c>
      <c r="P5" s="3">
        <v>3.07</v>
      </c>
      <c r="Q5" s="3">
        <v>4.66</v>
      </c>
      <c r="R5" s="2" t="s">
        <v>48</v>
      </c>
      <c r="S5" s="2" t="s">
        <v>29</v>
      </c>
      <c r="T5" s="2" t="s">
        <v>30</v>
      </c>
      <c r="U5" s="2">
        <v>4</v>
      </c>
    </row>
    <row r="6" spans="1:24" x14ac:dyDescent="0.25">
      <c r="A6" s="2" t="s">
        <v>49</v>
      </c>
      <c r="B6" s="2" t="s">
        <v>50</v>
      </c>
      <c r="C6" s="2" t="str">
        <f>TEXT(TransactionsTable500[[#This Row],[Order Date]],"mmm")</f>
        <v>Jan</v>
      </c>
      <c r="D6" s="2" t="s">
        <v>51</v>
      </c>
      <c r="E6" s="2" t="s">
        <v>23</v>
      </c>
      <c r="F6" s="2" t="s">
        <v>24</v>
      </c>
      <c r="G6" s="2" t="s">
        <v>52</v>
      </c>
      <c r="H6" s="2" t="s">
        <v>53</v>
      </c>
      <c r="I6" s="2" t="s">
        <v>27</v>
      </c>
      <c r="J6" s="2">
        <v>2</v>
      </c>
      <c r="K6" s="3">
        <v>3.73</v>
      </c>
      <c r="L6" s="3">
        <v>7.46</v>
      </c>
      <c r="M6" s="4">
        <v>0.05</v>
      </c>
      <c r="N6" s="3">
        <v>0.37</v>
      </c>
      <c r="O6" s="3">
        <v>7.09</v>
      </c>
      <c r="P6" s="3">
        <v>2.46</v>
      </c>
      <c r="Q6" s="3">
        <v>4.63</v>
      </c>
      <c r="R6" s="2" t="s">
        <v>48</v>
      </c>
      <c r="S6" s="2" t="s">
        <v>29</v>
      </c>
      <c r="T6" s="2" t="s">
        <v>37</v>
      </c>
      <c r="U6" s="2">
        <v>5</v>
      </c>
    </row>
    <row r="7" spans="1:24" x14ac:dyDescent="0.25">
      <c r="A7" s="2" t="s">
        <v>54</v>
      </c>
      <c r="B7" s="2" t="s">
        <v>50</v>
      </c>
      <c r="C7" s="2" t="str">
        <f>TEXT(TransactionsTable500[[#This Row],[Order Date]],"mmm")</f>
        <v>Jan</v>
      </c>
      <c r="D7" s="2" t="s">
        <v>55</v>
      </c>
      <c r="E7" s="2" t="s">
        <v>43</v>
      </c>
      <c r="F7" s="2" t="s">
        <v>44</v>
      </c>
      <c r="G7" s="2" t="s">
        <v>56</v>
      </c>
      <c r="H7" s="2" t="s">
        <v>57</v>
      </c>
      <c r="I7" s="2" t="s">
        <v>58</v>
      </c>
      <c r="J7" s="2">
        <v>3</v>
      </c>
      <c r="K7" s="3">
        <v>9.39</v>
      </c>
      <c r="L7" s="3">
        <v>28.17</v>
      </c>
      <c r="M7" s="4">
        <v>0</v>
      </c>
      <c r="N7" s="3">
        <v>0</v>
      </c>
      <c r="O7" s="3">
        <v>28.17</v>
      </c>
      <c r="P7" s="3">
        <v>10.47</v>
      </c>
      <c r="Q7" s="3">
        <v>17.7</v>
      </c>
      <c r="R7" s="2" t="s">
        <v>28</v>
      </c>
      <c r="S7" s="2" t="s">
        <v>36</v>
      </c>
      <c r="T7" s="2" t="s">
        <v>37</v>
      </c>
      <c r="U7" s="2">
        <v>4</v>
      </c>
    </row>
    <row r="8" spans="1:24" x14ac:dyDescent="0.25">
      <c r="A8" s="2" t="s">
        <v>59</v>
      </c>
      <c r="B8" s="2" t="s">
        <v>50</v>
      </c>
      <c r="C8" s="2" t="str">
        <f>TEXT(TransactionsTable500[[#This Row],[Order Date]],"mmm")</f>
        <v>Jan</v>
      </c>
      <c r="D8" s="2" t="s">
        <v>60</v>
      </c>
      <c r="E8" s="2" t="s">
        <v>61</v>
      </c>
      <c r="F8" s="2" t="s">
        <v>62</v>
      </c>
      <c r="G8" s="2" t="s">
        <v>63</v>
      </c>
      <c r="H8" s="2" t="s">
        <v>64</v>
      </c>
      <c r="I8" s="2" t="s">
        <v>65</v>
      </c>
      <c r="J8" s="2">
        <v>1</v>
      </c>
      <c r="K8" s="3">
        <v>2.58</v>
      </c>
      <c r="L8" s="3">
        <v>2.58</v>
      </c>
      <c r="M8" s="4">
        <v>0.05</v>
      </c>
      <c r="N8" s="3">
        <v>0.13</v>
      </c>
      <c r="O8" s="3">
        <v>2.4500000000000002</v>
      </c>
      <c r="P8" s="3">
        <v>0.88</v>
      </c>
      <c r="Q8" s="3">
        <v>1.57</v>
      </c>
      <c r="R8" s="2" t="s">
        <v>28</v>
      </c>
      <c r="S8" s="2" t="s">
        <v>66</v>
      </c>
      <c r="T8" s="2" t="s">
        <v>30</v>
      </c>
      <c r="U8" s="2">
        <v>4</v>
      </c>
      <c r="W8" t="s">
        <v>1052</v>
      </c>
      <c r="X8">
        <f>VLOOKUP(W8,TransactionsTable500[[#All],[Customer Type]:[Customer Rating]],4,)</f>
        <v>4</v>
      </c>
    </row>
    <row r="9" spans="1:24" x14ac:dyDescent="0.25">
      <c r="A9" s="2" t="s">
        <v>67</v>
      </c>
      <c r="B9" s="2" t="s">
        <v>68</v>
      </c>
      <c r="C9" s="2" t="str">
        <f>TEXT(TransactionsTable500[[#This Row],[Order Date]],"mmm")</f>
        <v>Jan</v>
      </c>
      <c r="D9" s="2" t="s">
        <v>69</v>
      </c>
      <c r="E9" s="2" t="s">
        <v>70</v>
      </c>
      <c r="F9" s="2" t="s">
        <v>44</v>
      </c>
      <c r="G9" s="2" t="s">
        <v>71</v>
      </c>
      <c r="H9" s="2" t="s">
        <v>72</v>
      </c>
      <c r="I9" s="2" t="s">
        <v>58</v>
      </c>
      <c r="J9" s="2">
        <v>1</v>
      </c>
      <c r="K9" s="3">
        <v>14.53</v>
      </c>
      <c r="L9" s="3">
        <v>14.53</v>
      </c>
      <c r="M9" s="4">
        <v>0</v>
      </c>
      <c r="N9" s="3">
        <v>0</v>
      </c>
      <c r="O9" s="3">
        <v>14.53</v>
      </c>
      <c r="P9" s="3">
        <v>5.74</v>
      </c>
      <c r="Q9" s="3">
        <v>8.7899999999999991</v>
      </c>
      <c r="R9" s="2" t="s">
        <v>48</v>
      </c>
      <c r="S9" s="2" t="s">
        <v>29</v>
      </c>
      <c r="T9" s="2" t="s">
        <v>37</v>
      </c>
      <c r="U9" s="2">
        <v>4</v>
      </c>
    </row>
    <row r="10" spans="1:24" x14ac:dyDescent="0.25">
      <c r="A10" s="2" t="s">
        <v>73</v>
      </c>
      <c r="B10" s="2" t="s">
        <v>74</v>
      </c>
      <c r="C10" s="2" t="str">
        <f>TEXT(TransactionsTable500[[#This Row],[Order Date]],"mmm")</f>
        <v>Jan</v>
      </c>
      <c r="D10" s="2" t="s">
        <v>75</v>
      </c>
      <c r="E10" s="2" t="s">
        <v>70</v>
      </c>
      <c r="F10" s="2" t="s">
        <v>44</v>
      </c>
      <c r="G10" s="2" t="s">
        <v>76</v>
      </c>
      <c r="H10" s="2" t="s">
        <v>77</v>
      </c>
      <c r="I10" s="2" t="s">
        <v>47</v>
      </c>
      <c r="J10" s="2">
        <v>1</v>
      </c>
      <c r="K10" s="3">
        <v>6.67</v>
      </c>
      <c r="L10" s="3">
        <v>6.67</v>
      </c>
      <c r="M10" s="4">
        <v>0</v>
      </c>
      <c r="N10" s="3">
        <v>0</v>
      </c>
      <c r="O10" s="3">
        <v>6.67</v>
      </c>
      <c r="P10" s="3">
        <v>2.17</v>
      </c>
      <c r="Q10" s="3">
        <v>4.5</v>
      </c>
      <c r="R10" s="2" t="s">
        <v>48</v>
      </c>
      <c r="S10" s="2" t="s">
        <v>36</v>
      </c>
      <c r="T10" s="2" t="s">
        <v>37</v>
      </c>
      <c r="U10" s="2">
        <v>4</v>
      </c>
    </row>
    <row r="11" spans="1:24" x14ac:dyDescent="0.25">
      <c r="A11" s="2" t="s">
        <v>78</v>
      </c>
      <c r="B11" s="2" t="s">
        <v>79</v>
      </c>
      <c r="C11" s="2" t="str">
        <f>TEXT(TransactionsTable500[[#This Row],[Order Date]],"mmm")</f>
        <v>Jan</v>
      </c>
      <c r="D11" s="2" t="s">
        <v>80</v>
      </c>
      <c r="E11" s="2" t="s">
        <v>23</v>
      </c>
      <c r="F11" s="2" t="s">
        <v>24</v>
      </c>
      <c r="G11" s="2" t="s">
        <v>81</v>
      </c>
      <c r="H11" s="2" t="s">
        <v>53</v>
      </c>
      <c r="I11" s="2" t="s">
        <v>27</v>
      </c>
      <c r="J11" s="2">
        <v>1</v>
      </c>
      <c r="K11" s="3">
        <v>3.88</v>
      </c>
      <c r="L11" s="3">
        <v>3.88</v>
      </c>
      <c r="M11" s="4">
        <v>0</v>
      </c>
      <c r="N11" s="3">
        <v>0</v>
      </c>
      <c r="O11" s="3">
        <v>3.88</v>
      </c>
      <c r="P11" s="3">
        <v>1.59</v>
      </c>
      <c r="Q11" s="3">
        <v>2.29</v>
      </c>
      <c r="R11" s="2" t="s">
        <v>28</v>
      </c>
      <c r="S11" s="2" t="s">
        <v>36</v>
      </c>
      <c r="T11" s="2" t="s">
        <v>37</v>
      </c>
      <c r="U11" s="2">
        <v>4</v>
      </c>
    </row>
    <row r="12" spans="1:24" x14ac:dyDescent="0.25">
      <c r="A12" s="2" t="s">
        <v>82</v>
      </c>
      <c r="B12" s="2" t="s">
        <v>83</v>
      </c>
      <c r="C12" s="2" t="str">
        <f>TEXT(TransactionsTable500[[#This Row],[Order Date]],"mmm")</f>
        <v>Jan</v>
      </c>
      <c r="D12" s="2" t="s">
        <v>84</v>
      </c>
      <c r="E12" s="2" t="s">
        <v>61</v>
      </c>
      <c r="F12" s="2" t="s">
        <v>62</v>
      </c>
      <c r="G12" s="2" t="s">
        <v>85</v>
      </c>
      <c r="H12" s="2" t="s">
        <v>86</v>
      </c>
      <c r="I12" s="2" t="s">
        <v>27</v>
      </c>
      <c r="J12" s="2">
        <v>1</v>
      </c>
      <c r="K12" s="3">
        <v>4.7</v>
      </c>
      <c r="L12" s="3">
        <v>4.7</v>
      </c>
      <c r="M12" s="4">
        <v>0</v>
      </c>
      <c r="N12" s="3">
        <v>0</v>
      </c>
      <c r="O12" s="3">
        <v>4.7</v>
      </c>
      <c r="P12" s="3">
        <v>1.63</v>
      </c>
      <c r="Q12" s="3">
        <v>3.07</v>
      </c>
      <c r="R12" s="2" t="s">
        <v>48</v>
      </c>
      <c r="S12" s="2" t="s">
        <v>87</v>
      </c>
      <c r="T12" s="2" t="s">
        <v>30</v>
      </c>
      <c r="U12" s="2">
        <v>2</v>
      </c>
    </row>
    <row r="13" spans="1:24" x14ac:dyDescent="0.25">
      <c r="A13" s="2" t="s">
        <v>88</v>
      </c>
      <c r="B13" s="2" t="s">
        <v>89</v>
      </c>
      <c r="C13" s="2" t="str">
        <f>TEXT(TransactionsTable500[[#This Row],[Order Date]],"mmm")</f>
        <v>Jan</v>
      </c>
      <c r="D13" s="2" t="s">
        <v>80</v>
      </c>
      <c r="E13" s="2" t="s">
        <v>23</v>
      </c>
      <c r="F13" s="2" t="s">
        <v>24</v>
      </c>
      <c r="G13" s="2" t="s">
        <v>81</v>
      </c>
      <c r="H13" s="2" t="s">
        <v>57</v>
      </c>
      <c r="I13" s="2" t="s">
        <v>58</v>
      </c>
      <c r="J13" s="2">
        <v>4</v>
      </c>
      <c r="K13" s="3">
        <v>8.8699999999999992</v>
      </c>
      <c r="L13" s="3">
        <v>35.479999999999997</v>
      </c>
      <c r="M13" s="4">
        <v>0</v>
      </c>
      <c r="N13" s="3">
        <v>0</v>
      </c>
      <c r="O13" s="3">
        <v>35.479999999999997</v>
      </c>
      <c r="P13" s="3">
        <v>12.17</v>
      </c>
      <c r="Q13" s="3">
        <v>23.31</v>
      </c>
      <c r="R13" s="2" t="s">
        <v>28</v>
      </c>
      <c r="S13" s="2" t="s">
        <v>66</v>
      </c>
      <c r="T13" s="2" t="s">
        <v>90</v>
      </c>
      <c r="U13" s="2">
        <v>3</v>
      </c>
    </row>
    <row r="14" spans="1:24" x14ac:dyDescent="0.25">
      <c r="A14" s="2" t="s">
        <v>91</v>
      </c>
      <c r="B14" s="2" t="s">
        <v>92</v>
      </c>
      <c r="C14" s="2" t="str">
        <f>TEXT(TransactionsTable500[[#This Row],[Order Date]],"mmm")</f>
        <v>Jan</v>
      </c>
      <c r="D14" s="2" t="s">
        <v>40</v>
      </c>
      <c r="E14" s="2" t="s">
        <v>33</v>
      </c>
      <c r="F14" s="2" t="s">
        <v>34</v>
      </c>
      <c r="G14" s="2" t="s">
        <v>35</v>
      </c>
      <c r="H14" s="2" t="s">
        <v>93</v>
      </c>
      <c r="I14" s="2" t="s">
        <v>65</v>
      </c>
      <c r="J14" s="2">
        <v>2</v>
      </c>
      <c r="K14" s="3">
        <v>3.52</v>
      </c>
      <c r="L14" s="3">
        <v>7.04</v>
      </c>
      <c r="M14" s="4">
        <v>0.05</v>
      </c>
      <c r="N14" s="3">
        <v>0.35</v>
      </c>
      <c r="O14" s="3">
        <v>6.69</v>
      </c>
      <c r="P14" s="3">
        <v>2.79</v>
      </c>
      <c r="Q14" s="3">
        <v>3.9</v>
      </c>
      <c r="R14" s="2" t="s">
        <v>48</v>
      </c>
      <c r="S14" s="2" t="s">
        <v>29</v>
      </c>
      <c r="T14" s="2" t="s">
        <v>90</v>
      </c>
      <c r="U14" s="2">
        <v>4</v>
      </c>
    </row>
    <row r="15" spans="1:24" x14ac:dyDescent="0.25">
      <c r="A15" s="2" t="s">
        <v>94</v>
      </c>
      <c r="B15" s="2" t="s">
        <v>92</v>
      </c>
      <c r="C15" s="2" t="str">
        <f>TEXT(TransactionsTable500[[#This Row],[Order Date]],"mmm")</f>
        <v>Jan</v>
      </c>
      <c r="D15" s="2" t="s">
        <v>95</v>
      </c>
      <c r="E15" s="2" t="s">
        <v>23</v>
      </c>
      <c r="F15" s="2" t="s">
        <v>24</v>
      </c>
      <c r="G15" s="2" t="s">
        <v>52</v>
      </c>
      <c r="H15" s="2" t="s">
        <v>64</v>
      </c>
      <c r="I15" s="2" t="s">
        <v>65</v>
      </c>
      <c r="J15" s="2">
        <v>1</v>
      </c>
      <c r="K15" s="3">
        <v>2.57</v>
      </c>
      <c r="L15" s="3">
        <v>2.57</v>
      </c>
      <c r="M15" s="4">
        <v>0</v>
      </c>
      <c r="N15" s="3">
        <v>0</v>
      </c>
      <c r="O15" s="3">
        <v>2.57</v>
      </c>
      <c r="P15" s="3">
        <v>0.97</v>
      </c>
      <c r="Q15" s="3">
        <v>1.6</v>
      </c>
      <c r="R15" s="2" t="s">
        <v>96</v>
      </c>
      <c r="S15" s="2" t="s">
        <v>66</v>
      </c>
      <c r="T15" s="2" t="s">
        <v>37</v>
      </c>
      <c r="U15" s="2">
        <v>4</v>
      </c>
    </row>
    <row r="16" spans="1:24" x14ac:dyDescent="0.25">
      <c r="A16" s="2" t="s">
        <v>97</v>
      </c>
      <c r="B16" s="2" t="s">
        <v>98</v>
      </c>
      <c r="C16" s="2" t="str">
        <f>TEXT(TransactionsTable500[[#This Row],[Order Date]],"mmm")</f>
        <v>Jan</v>
      </c>
      <c r="D16" s="2" t="s">
        <v>69</v>
      </c>
      <c r="E16" s="2" t="s">
        <v>70</v>
      </c>
      <c r="F16" s="2" t="s">
        <v>44</v>
      </c>
      <c r="G16" s="2" t="s">
        <v>71</v>
      </c>
      <c r="H16" s="2" t="s">
        <v>99</v>
      </c>
      <c r="I16" s="2" t="s">
        <v>100</v>
      </c>
      <c r="J16" s="2">
        <v>1</v>
      </c>
      <c r="K16" s="3">
        <v>4.5599999999999996</v>
      </c>
      <c r="L16" s="3">
        <v>4.5599999999999996</v>
      </c>
      <c r="M16" s="4">
        <v>0</v>
      </c>
      <c r="N16" s="3">
        <v>0</v>
      </c>
      <c r="O16" s="3">
        <v>4.5599999999999996</v>
      </c>
      <c r="P16" s="3">
        <v>1.54</v>
      </c>
      <c r="Q16" s="3">
        <v>3.02</v>
      </c>
      <c r="R16" s="2" t="s">
        <v>28</v>
      </c>
      <c r="S16" s="2" t="s">
        <v>29</v>
      </c>
      <c r="T16" s="2" t="s">
        <v>37</v>
      </c>
      <c r="U16" s="2">
        <v>4</v>
      </c>
    </row>
    <row r="17" spans="1:21" x14ac:dyDescent="0.25">
      <c r="A17" s="2" t="s">
        <v>101</v>
      </c>
      <c r="B17" s="2" t="s">
        <v>102</v>
      </c>
      <c r="C17" s="2" t="str">
        <f>TEXT(TransactionsTable500[[#This Row],[Order Date]],"mmm")</f>
        <v>Jan</v>
      </c>
      <c r="D17" s="2" t="s">
        <v>55</v>
      </c>
      <c r="E17" s="2" t="s">
        <v>43</v>
      </c>
      <c r="F17" s="2" t="s">
        <v>44</v>
      </c>
      <c r="G17" s="2" t="s">
        <v>56</v>
      </c>
      <c r="H17" s="2" t="s">
        <v>103</v>
      </c>
      <c r="I17" s="2" t="s">
        <v>27</v>
      </c>
      <c r="J17" s="2">
        <v>1</v>
      </c>
      <c r="K17" s="3">
        <v>5.12</v>
      </c>
      <c r="L17" s="3">
        <v>5.12</v>
      </c>
      <c r="M17" s="4">
        <v>0</v>
      </c>
      <c r="N17" s="3">
        <v>0</v>
      </c>
      <c r="O17" s="3">
        <v>5.12</v>
      </c>
      <c r="P17" s="3">
        <v>1.88</v>
      </c>
      <c r="Q17" s="3">
        <v>3.24</v>
      </c>
      <c r="R17" s="2" t="s">
        <v>96</v>
      </c>
      <c r="S17" s="2" t="s">
        <v>66</v>
      </c>
      <c r="T17" s="2" t="s">
        <v>37</v>
      </c>
      <c r="U17" s="2">
        <v>4</v>
      </c>
    </row>
    <row r="18" spans="1:21" x14ac:dyDescent="0.25">
      <c r="A18" s="2" t="s">
        <v>104</v>
      </c>
      <c r="B18" s="2" t="s">
        <v>102</v>
      </c>
      <c r="C18" s="2" t="str">
        <f>TEXT(TransactionsTable500[[#This Row],[Order Date]],"mmm")</f>
        <v>Jan</v>
      </c>
      <c r="D18" s="2" t="s">
        <v>105</v>
      </c>
      <c r="E18" s="2" t="s">
        <v>61</v>
      </c>
      <c r="F18" s="2" t="s">
        <v>62</v>
      </c>
      <c r="G18" s="2" t="s">
        <v>85</v>
      </c>
      <c r="H18" s="2" t="s">
        <v>106</v>
      </c>
      <c r="I18" s="2" t="s">
        <v>100</v>
      </c>
      <c r="J18" s="2">
        <v>2</v>
      </c>
      <c r="K18" s="3">
        <v>3.6</v>
      </c>
      <c r="L18" s="3">
        <v>7.2</v>
      </c>
      <c r="M18" s="4">
        <v>0</v>
      </c>
      <c r="N18" s="3">
        <v>0</v>
      </c>
      <c r="O18" s="3">
        <v>7.2</v>
      </c>
      <c r="P18" s="3">
        <v>2.95</v>
      </c>
      <c r="Q18" s="3">
        <v>4.25</v>
      </c>
      <c r="R18" s="2" t="s">
        <v>28</v>
      </c>
      <c r="S18" s="2" t="s">
        <v>29</v>
      </c>
      <c r="T18" s="2" t="s">
        <v>30</v>
      </c>
      <c r="U18" s="2">
        <v>3</v>
      </c>
    </row>
    <row r="19" spans="1:21" x14ac:dyDescent="0.25">
      <c r="A19" s="2" t="s">
        <v>107</v>
      </c>
      <c r="B19" s="2" t="s">
        <v>108</v>
      </c>
      <c r="C19" s="2" t="str">
        <f>TEXT(TransactionsTable500[[#This Row],[Order Date]],"mmm")</f>
        <v>Jan</v>
      </c>
      <c r="D19" s="2" t="s">
        <v>109</v>
      </c>
      <c r="E19" s="2" t="s">
        <v>33</v>
      </c>
      <c r="F19" s="2" t="s">
        <v>34</v>
      </c>
      <c r="G19" s="2" t="s">
        <v>110</v>
      </c>
      <c r="H19" s="2" t="s">
        <v>26</v>
      </c>
      <c r="I19" s="2" t="s">
        <v>27</v>
      </c>
      <c r="J19" s="2">
        <v>1</v>
      </c>
      <c r="K19" s="3">
        <v>5.41</v>
      </c>
      <c r="L19" s="3">
        <v>5.41</v>
      </c>
      <c r="M19" s="4">
        <v>0</v>
      </c>
      <c r="N19" s="3">
        <v>0</v>
      </c>
      <c r="O19" s="3">
        <v>5.41</v>
      </c>
      <c r="P19" s="3">
        <v>2.08</v>
      </c>
      <c r="Q19" s="3">
        <v>3.33</v>
      </c>
      <c r="R19" s="2" t="s">
        <v>48</v>
      </c>
      <c r="S19" s="2" t="s">
        <v>36</v>
      </c>
      <c r="T19" s="2" t="s">
        <v>30</v>
      </c>
      <c r="U19" s="2">
        <v>5</v>
      </c>
    </row>
    <row r="20" spans="1:21" x14ac:dyDescent="0.25">
      <c r="A20" s="2" t="s">
        <v>111</v>
      </c>
      <c r="B20" s="2" t="s">
        <v>108</v>
      </c>
      <c r="C20" s="2" t="str">
        <f>TEXT(TransactionsTable500[[#This Row],[Order Date]],"mmm")</f>
        <v>Jan</v>
      </c>
      <c r="D20" s="2" t="s">
        <v>60</v>
      </c>
      <c r="E20" s="2" t="s">
        <v>61</v>
      </c>
      <c r="F20" s="2" t="s">
        <v>62</v>
      </c>
      <c r="G20" s="2" t="s">
        <v>63</v>
      </c>
      <c r="H20" s="2" t="s">
        <v>112</v>
      </c>
      <c r="I20" s="2" t="s">
        <v>100</v>
      </c>
      <c r="J20" s="2">
        <v>2</v>
      </c>
      <c r="K20" s="3">
        <v>3.81</v>
      </c>
      <c r="L20" s="3">
        <v>7.62</v>
      </c>
      <c r="M20" s="4">
        <v>0.05</v>
      </c>
      <c r="N20" s="3">
        <v>0.38</v>
      </c>
      <c r="O20" s="3">
        <v>7.24</v>
      </c>
      <c r="P20" s="3">
        <v>2.52</v>
      </c>
      <c r="Q20" s="3">
        <v>4.72</v>
      </c>
      <c r="R20" s="2" t="s">
        <v>28</v>
      </c>
      <c r="S20" s="2" t="s">
        <v>66</v>
      </c>
      <c r="T20" s="2" t="s">
        <v>90</v>
      </c>
      <c r="U20" s="2">
        <v>5</v>
      </c>
    </row>
    <row r="21" spans="1:21" x14ac:dyDescent="0.25">
      <c r="A21" s="2" t="s">
        <v>113</v>
      </c>
      <c r="B21" s="2" t="s">
        <v>114</v>
      </c>
      <c r="C21" s="2" t="str">
        <f>TEXT(TransactionsTable500[[#This Row],[Order Date]],"mmm")</f>
        <v>Jan</v>
      </c>
      <c r="D21" s="2" t="s">
        <v>115</v>
      </c>
      <c r="E21" s="2" t="s">
        <v>70</v>
      </c>
      <c r="F21" s="2" t="s">
        <v>44</v>
      </c>
      <c r="G21" s="2" t="s">
        <v>76</v>
      </c>
      <c r="H21" s="2" t="s">
        <v>106</v>
      </c>
      <c r="I21" s="2" t="s">
        <v>100</v>
      </c>
      <c r="J21" s="2">
        <v>2</v>
      </c>
      <c r="K21" s="3">
        <v>3.38</v>
      </c>
      <c r="L21" s="3">
        <v>6.76</v>
      </c>
      <c r="M21" s="4">
        <v>0.1</v>
      </c>
      <c r="N21" s="3">
        <v>0.68</v>
      </c>
      <c r="O21" s="3">
        <v>6.08</v>
      </c>
      <c r="P21" s="3">
        <v>2.2000000000000002</v>
      </c>
      <c r="Q21" s="3">
        <v>3.88</v>
      </c>
      <c r="R21" s="2" t="s">
        <v>28</v>
      </c>
      <c r="S21" s="2" t="s">
        <v>29</v>
      </c>
      <c r="T21" s="2" t="s">
        <v>37</v>
      </c>
      <c r="U21" s="2">
        <v>5</v>
      </c>
    </row>
    <row r="22" spans="1:21" x14ac:dyDescent="0.25">
      <c r="A22" s="2" t="s">
        <v>116</v>
      </c>
      <c r="B22" s="2" t="s">
        <v>117</v>
      </c>
      <c r="C22" s="2" t="str">
        <f>TEXT(TransactionsTable500[[#This Row],[Order Date]],"mmm")</f>
        <v>Jan</v>
      </c>
      <c r="D22" s="2" t="s">
        <v>118</v>
      </c>
      <c r="E22" s="2" t="s">
        <v>119</v>
      </c>
      <c r="F22" s="2" t="s">
        <v>24</v>
      </c>
      <c r="G22" s="2" t="s">
        <v>120</v>
      </c>
      <c r="H22" s="2" t="s">
        <v>53</v>
      </c>
      <c r="I22" s="2" t="s">
        <v>27</v>
      </c>
      <c r="J22" s="2">
        <v>2</v>
      </c>
      <c r="K22" s="3">
        <v>4.07</v>
      </c>
      <c r="L22" s="3">
        <v>8.14</v>
      </c>
      <c r="M22" s="4">
        <v>0</v>
      </c>
      <c r="N22" s="3">
        <v>0</v>
      </c>
      <c r="O22" s="3">
        <v>8.14</v>
      </c>
      <c r="P22" s="3">
        <v>2.75</v>
      </c>
      <c r="Q22" s="3">
        <v>5.39</v>
      </c>
      <c r="R22" s="2" t="s">
        <v>28</v>
      </c>
      <c r="S22" s="2" t="s">
        <v>66</v>
      </c>
      <c r="T22" s="2" t="s">
        <v>30</v>
      </c>
      <c r="U22" s="2">
        <v>5</v>
      </c>
    </row>
    <row r="23" spans="1:21" x14ac:dyDescent="0.25">
      <c r="A23" s="2" t="s">
        <v>121</v>
      </c>
      <c r="B23" s="2" t="s">
        <v>117</v>
      </c>
      <c r="C23" s="2" t="str">
        <f>TEXT(TransactionsTable500[[#This Row],[Order Date]],"mmm")</f>
        <v>Jan</v>
      </c>
      <c r="D23" s="2" t="s">
        <v>75</v>
      </c>
      <c r="E23" s="2" t="s">
        <v>70</v>
      </c>
      <c r="F23" s="2" t="s">
        <v>44</v>
      </c>
      <c r="G23" s="2" t="s">
        <v>76</v>
      </c>
      <c r="H23" s="2" t="s">
        <v>122</v>
      </c>
      <c r="I23" s="2" t="s">
        <v>47</v>
      </c>
      <c r="J23" s="2">
        <v>2</v>
      </c>
      <c r="K23" s="3">
        <v>6.58</v>
      </c>
      <c r="L23" s="3">
        <v>13.16</v>
      </c>
      <c r="M23" s="4">
        <v>0.1</v>
      </c>
      <c r="N23" s="3">
        <v>1.32</v>
      </c>
      <c r="O23" s="3">
        <v>11.84</v>
      </c>
      <c r="P23" s="3">
        <v>4.87</v>
      </c>
      <c r="Q23" s="3">
        <v>6.97</v>
      </c>
      <c r="R23" s="2" t="s">
        <v>28</v>
      </c>
      <c r="S23" s="2" t="s">
        <v>29</v>
      </c>
      <c r="T23" s="2" t="s">
        <v>90</v>
      </c>
      <c r="U23" s="2">
        <v>5</v>
      </c>
    </row>
    <row r="24" spans="1:21" x14ac:dyDescent="0.25">
      <c r="A24" s="2" t="s">
        <v>123</v>
      </c>
      <c r="B24" s="2" t="s">
        <v>124</v>
      </c>
      <c r="C24" s="2" t="str">
        <f>TEXT(TransactionsTable500[[#This Row],[Order Date]],"mmm")</f>
        <v>Jan</v>
      </c>
      <c r="D24" s="2" t="s">
        <v>40</v>
      </c>
      <c r="E24" s="2" t="s">
        <v>33</v>
      </c>
      <c r="F24" s="2" t="s">
        <v>34</v>
      </c>
      <c r="G24" s="2" t="s">
        <v>35</v>
      </c>
      <c r="H24" s="2" t="s">
        <v>86</v>
      </c>
      <c r="I24" s="2" t="s">
        <v>27</v>
      </c>
      <c r="J24" s="2">
        <v>3</v>
      </c>
      <c r="K24" s="3">
        <v>4.49</v>
      </c>
      <c r="L24" s="3">
        <v>13.47</v>
      </c>
      <c r="M24" s="4">
        <v>0</v>
      </c>
      <c r="N24" s="3">
        <v>0</v>
      </c>
      <c r="O24" s="3">
        <v>13.47</v>
      </c>
      <c r="P24" s="3">
        <v>4.9000000000000004</v>
      </c>
      <c r="Q24" s="3">
        <v>8.57</v>
      </c>
      <c r="R24" s="2" t="s">
        <v>28</v>
      </c>
      <c r="S24" s="2" t="s">
        <v>87</v>
      </c>
      <c r="T24" s="2" t="s">
        <v>90</v>
      </c>
      <c r="U24" s="2">
        <v>4</v>
      </c>
    </row>
    <row r="25" spans="1:21" x14ac:dyDescent="0.25">
      <c r="A25" s="2" t="s">
        <v>125</v>
      </c>
      <c r="B25" s="2" t="s">
        <v>126</v>
      </c>
      <c r="C25" s="2" t="str">
        <f>TEXT(TransactionsTable500[[#This Row],[Order Date]],"mmm")</f>
        <v>Jan</v>
      </c>
      <c r="D25" s="2" t="s">
        <v>127</v>
      </c>
      <c r="E25" s="2" t="s">
        <v>23</v>
      </c>
      <c r="F25" s="2" t="s">
        <v>24</v>
      </c>
      <c r="G25" s="2" t="s">
        <v>25</v>
      </c>
      <c r="H25" s="2" t="s">
        <v>77</v>
      </c>
      <c r="I25" s="2" t="s">
        <v>47</v>
      </c>
      <c r="J25" s="2">
        <v>2</v>
      </c>
      <c r="K25" s="3">
        <v>6.72</v>
      </c>
      <c r="L25" s="3">
        <v>13.44</v>
      </c>
      <c r="M25" s="4">
        <v>0</v>
      </c>
      <c r="N25" s="3">
        <v>0</v>
      </c>
      <c r="O25" s="3">
        <v>13.44</v>
      </c>
      <c r="P25" s="3">
        <v>4.8600000000000003</v>
      </c>
      <c r="Q25" s="3">
        <v>8.58</v>
      </c>
      <c r="R25" s="2" t="s">
        <v>28</v>
      </c>
      <c r="S25" s="2" t="s">
        <v>66</v>
      </c>
      <c r="T25" s="2" t="s">
        <v>37</v>
      </c>
      <c r="U25" s="2">
        <v>4</v>
      </c>
    </row>
    <row r="26" spans="1:21" x14ac:dyDescent="0.25">
      <c r="A26" s="2" t="s">
        <v>128</v>
      </c>
      <c r="B26" s="2" t="s">
        <v>126</v>
      </c>
      <c r="C26" s="2" t="str">
        <f>TEXT(TransactionsTable500[[#This Row],[Order Date]],"mmm")</f>
        <v>Jan</v>
      </c>
      <c r="D26" s="2" t="s">
        <v>129</v>
      </c>
      <c r="E26" s="2" t="s">
        <v>61</v>
      </c>
      <c r="F26" s="2" t="s">
        <v>62</v>
      </c>
      <c r="G26" s="2" t="s">
        <v>130</v>
      </c>
      <c r="H26" s="2" t="s">
        <v>72</v>
      </c>
      <c r="I26" s="2" t="s">
        <v>58</v>
      </c>
      <c r="J26" s="2">
        <v>1</v>
      </c>
      <c r="K26" s="3">
        <v>14.26</v>
      </c>
      <c r="L26" s="3">
        <v>14.26</v>
      </c>
      <c r="M26" s="4">
        <v>0.05</v>
      </c>
      <c r="N26" s="3">
        <v>0.71</v>
      </c>
      <c r="O26" s="3">
        <v>13.55</v>
      </c>
      <c r="P26" s="3">
        <v>5.68</v>
      </c>
      <c r="Q26" s="3">
        <v>7.87</v>
      </c>
      <c r="R26" s="2" t="s">
        <v>28</v>
      </c>
      <c r="S26" s="2" t="s">
        <v>29</v>
      </c>
      <c r="T26" s="2" t="s">
        <v>90</v>
      </c>
      <c r="U26" s="2">
        <v>5</v>
      </c>
    </row>
    <row r="27" spans="1:21" x14ac:dyDescent="0.25">
      <c r="A27" s="2" t="s">
        <v>131</v>
      </c>
      <c r="B27" s="2" t="s">
        <v>132</v>
      </c>
      <c r="C27" s="2" t="str">
        <f>TEXT(TransactionsTable500[[#This Row],[Order Date]],"mmm")</f>
        <v>Jan</v>
      </c>
      <c r="D27" s="2" t="s">
        <v>133</v>
      </c>
      <c r="E27" s="2" t="s">
        <v>119</v>
      </c>
      <c r="F27" s="2" t="s">
        <v>24</v>
      </c>
      <c r="G27" s="2" t="s">
        <v>134</v>
      </c>
      <c r="H27" s="2" t="s">
        <v>86</v>
      </c>
      <c r="I27" s="2" t="s">
        <v>27</v>
      </c>
      <c r="J27" s="2">
        <v>4</v>
      </c>
      <c r="K27" s="3">
        <v>4.4400000000000004</v>
      </c>
      <c r="L27" s="3">
        <v>17.760000000000002</v>
      </c>
      <c r="M27" s="4">
        <v>0</v>
      </c>
      <c r="N27" s="3">
        <v>0</v>
      </c>
      <c r="O27" s="3">
        <v>17.760000000000002</v>
      </c>
      <c r="P27" s="3">
        <v>6.1</v>
      </c>
      <c r="Q27" s="3">
        <v>11.66</v>
      </c>
      <c r="R27" s="2" t="s">
        <v>28</v>
      </c>
      <c r="S27" s="2" t="s">
        <v>66</v>
      </c>
      <c r="T27" s="2" t="s">
        <v>37</v>
      </c>
      <c r="U27" s="2">
        <v>4</v>
      </c>
    </row>
    <row r="28" spans="1:21" x14ac:dyDescent="0.25">
      <c r="A28" s="2" t="s">
        <v>135</v>
      </c>
      <c r="B28" s="2" t="s">
        <v>136</v>
      </c>
      <c r="C28" s="2" t="str">
        <f>TEXT(TransactionsTable500[[#This Row],[Order Date]],"mmm")</f>
        <v>Jan</v>
      </c>
      <c r="D28" s="2" t="s">
        <v>55</v>
      </c>
      <c r="E28" s="2" t="s">
        <v>43</v>
      </c>
      <c r="F28" s="2" t="s">
        <v>44</v>
      </c>
      <c r="G28" s="2" t="s">
        <v>56</v>
      </c>
      <c r="H28" s="2" t="s">
        <v>46</v>
      </c>
      <c r="I28" s="2" t="s">
        <v>47</v>
      </c>
      <c r="J28" s="2">
        <v>1</v>
      </c>
      <c r="K28" s="3">
        <v>7.85</v>
      </c>
      <c r="L28" s="3">
        <v>7.85</v>
      </c>
      <c r="M28" s="4">
        <v>0</v>
      </c>
      <c r="N28" s="3">
        <v>0</v>
      </c>
      <c r="O28" s="3">
        <v>7.85</v>
      </c>
      <c r="P28" s="3">
        <v>2.6</v>
      </c>
      <c r="Q28" s="3">
        <v>5.25</v>
      </c>
      <c r="R28" s="2" t="s">
        <v>96</v>
      </c>
      <c r="S28" s="2" t="s">
        <v>66</v>
      </c>
      <c r="T28" s="2" t="s">
        <v>30</v>
      </c>
      <c r="U28" s="2">
        <v>5</v>
      </c>
    </row>
    <row r="29" spans="1:21" x14ac:dyDescent="0.25">
      <c r="A29" s="2" t="s">
        <v>137</v>
      </c>
      <c r="B29" s="2" t="s">
        <v>138</v>
      </c>
      <c r="C29" s="2" t="str">
        <f>TEXT(TransactionsTable500[[#This Row],[Order Date]],"mmm")</f>
        <v>Jan</v>
      </c>
      <c r="D29" s="2" t="s">
        <v>139</v>
      </c>
      <c r="E29" s="2" t="s">
        <v>70</v>
      </c>
      <c r="F29" s="2" t="s">
        <v>44</v>
      </c>
      <c r="G29" s="2" t="s">
        <v>71</v>
      </c>
      <c r="H29" s="2" t="s">
        <v>140</v>
      </c>
      <c r="I29" s="2" t="s">
        <v>58</v>
      </c>
      <c r="J29" s="2">
        <v>5</v>
      </c>
      <c r="K29" s="3">
        <v>11.93</v>
      </c>
      <c r="L29" s="3">
        <v>59.65</v>
      </c>
      <c r="M29" s="4">
        <v>0</v>
      </c>
      <c r="N29" s="3">
        <v>0</v>
      </c>
      <c r="O29" s="3">
        <v>59.65</v>
      </c>
      <c r="P29" s="3">
        <v>22.82</v>
      </c>
      <c r="Q29" s="3">
        <v>36.83</v>
      </c>
      <c r="R29" s="2" t="s">
        <v>48</v>
      </c>
      <c r="S29" s="2" t="s">
        <v>87</v>
      </c>
      <c r="T29" s="2" t="s">
        <v>30</v>
      </c>
      <c r="U29" s="2">
        <v>4</v>
      </c>
    </row>
    <row r="30" spans="1:21" x14ac:dyDescent="0.25">
      <c r="A30" s="2" t="s">
        <v>141</v>
      </c>
      <c r="B30" s="2" t="s">
        <v>142</v>
      </c>
      <c r="C30" s="2" t="str">
        <f>TEXT(TransactionsTable500[[#This Row],[Order Date]],"mmm")</f>
        <v>Feb</v>
      </c>
      <c r="D30" s="2" t="s">
        <v>143</v>
      </c>
      <c r="E30" s="2" t="s">
        <v>43</v>
      </c>
      <c r="F30" s="2" t="s">
        <v>44</v>
      </c>
      <c r="G30" s="2" t="s">
        <v>144</v>
      </c>
      <c r="H30" s="2" t="s">
        <v>103</v>
      </c>
      <c r="I30" s="2" t="s">
        <v>27</v>
      </c>
      <c r="J30" s="2">
        <v>2</v>
      </c>
      <c r="K30" s="3">
        <v>5.1100000000000003</v>
      </c>
      <c r="L30" s="3">
        <v>10.220000000000001</v>
      </c>
      <c r="M30" s="4">
        <v>0</v>
      </c>
      <c r="N30" s="3">
        <v>0</v>
      </c>
      <c r="O30" s="3">
        <v>10.220000000000001</v>
      </c>
      <c r="P30" s="3">
        <v>4.08</v>
      </c>
      <c r="Q30" s="3">
        <v>6.14</v>
      </c>
      <c r="R30" s="2" t="s">
        <v>28</v>
      </c>
      <c r="S30" s="2" t="s">
        <v>87</v>
      </c>
      <c r="T30" s="2" t="s">
        <v>37</v>
      </c>
      <c r="U30" s="2">
        <v>3</v>
      </c>
    </row>
    <row r="31" spans="1:21" x14ac:dyDescent="0.25">
      <c r="A31" s="2" t="s">
        <v>145</v>
      </c>
      <c r="B31" s="2" t="s">
        <v>142</v>
      </c>
      <c r="C31" s="2" t="str">
        <f>TEXT(TransactionsTable500[[#This Row],[Order Date]],"mmm")</f>
        <v>Feb</v>
      </c>
      <c r="D31" s="2" t="s">
        <v>115</v>
      </c>
      <c r="E31" s="2" t="s">
        <v>70</v>
      </c>
      <c r="F31" s="2" t="s">
        <v>44</v>
      </c>
      <c r="G31" s="2" t="s">
        <v>76</v>
      </c>
      <c r="H31" s="2" t="s">
        <v>140</v>
      </c>
      <c r="I31" s="2" t="s">
        <v>58</v>
      </c>
      <c r="J31" s="2">
        <v>3</v>
      </c>
      <c r="K31" s="3">
        <v>11.89</v>
      </c>
      <c r="L31" s="3">
        <v>35.67</v>
      </c>
      <c r="M31" s="4">
        <v>0</v>
      </c>
      <c r="N31" s="3">
        <v>0</v>
      </c>
      <c r="O31" s="3">
        <v>35.67</v>
      </c>
      <c r="P31" s="3">
        <v>12.03</v>
      </c>
      <c r="Q31" s="3">
        <v>23.64</v>
      </c>
      <c r="R31" s="2" t="s">
        <v>48</v>
      </c>
      <c r="S31" s="2" t="s">
        <v>66</v>
      </c>
      <c r="T31" s="2" t="s">
        <v>90</v>
      </c>
      <c r="U31" s="2">
        <v>5</v>
      </c>
    </row>
    <row r="32" spans="1:21" x14ac:dyDescent="0.25">
      <c r="A32" s="2" t="s">
        <v>146</v>
      </c>
      <c r="B32" s="2" t="s">
        <v>147</v>
      </c>
      <c r="C32" s="2" t="str">
        <f>TEXT(TransactionsTable500[[#This Row],[Order Date]],"mmm")</f>
        <v>Feb</v>
      </c>
      <c r="D32" s="2" t="s">
        <v>129</v>
      </c>
      <c r="E32" s="2" t="s">
        <v>61</v>
      </c>
      <c r="F32" s="2" t="s">
        <v>62</v>
      </c>
      <c r="G32" s="2" t="s">
        <v>130</v>
      </c>
      <c r="H32" s="2" t="s">
        <v>140</v>
      </c>
      <c r="I32" s="2" t="s">
        <v>58</v>
      </c>
      <c r="J32" s="2">
        <v>1</v>
      </c>
      <c r="K32" s="3">
        <v>12.52</v>
      </c>
      <c r="L32" s="3">
        <v>12.52</v>
      </c>
      <c r="M32" s="4">
        <v>0</v>
      </c>
      <c r="N32" s="3">
        <v>0</v>
      </c>
      <c r="O32" s="3">
        <v>12.52</v>
      </c>
      <c r="P32" s="3">
        <v>4.99</v>
      </c>
      <c r="Q32" s="3">
        <v>7.53</v>
      </c>
      <c r="R32" s="2" t="s">
        <v>48</v>
      </c>
      <c r="S32" s="2" t="s">
        <v>29</v>
      </c>
      <c r="T32" s="2" t="s">
        <v>30</v>
      </c>
      <c r="U32" s="2">
        <v>5</v>
      </c>
    </row>
    <row r="33" spans="1:21" x14ac:dyDescent="0.25">
      <c r="A33" s="2" t="s">
        <v>148</v>
      </c>
      <c r="B33" s="2" t="s">
        <v>147</v>
      </c>
      <c r="C33" s="2" t="str">
        <f>TEXT(TransactionsTable500[[#This Row],[Order Date]],"mmm")</f>
        <v>Feb</v>
      </c>
      <c r="D33" s="2" t="s">
        <v>127</v>
      </c>
      <c r="E33" s="2" t="s">
        <v>23</v>
      </c>
      <c r="F33" s="2" t="s">
        <v>24</v>
      </c>
      <c r="G33" s="2" t="s">
        <v>25</v>
      </c>
      <c r="H33" s="2" t="s">
        <v>53</v>
      </c>
      <c r="I33" s="2" t="s">
        <v>27</v>
      </c>
      <c r="J33" s="2">
        <v>5</v>
      </c>
      <c r="K33" s="3">
        <v>3.77</v>
      </c>
      <c r="L33" s="3">
        <v>18.850000000000001</v>
      </c>
      <c r="M33" s="4">
        <v>0</v>
      </c>
      <c r="N33" s="3">
        <v>0</v>
      </c>
      <c r="O33" s="3">
        <v>18.850000000000001</v>
      </c>
      <c r="P33" s="3">
        <v>6.36</v>
      </c>
      <c r="Q33" s="3">
        <v>12.49</v>
      </c>
      <c r="R33" s="2" t="s">
        <v>48</v>
      </c>
      <c r="S33" s="2" t="s">
        <v>29</v>
      </c>
      <c r="T33" s="2" t="s">
        <v>90</v>
      </c>
      <c r="U33" s="2">
        <v>5</v>
      </c>
    </row>
    <row r="34" spans="1:21" x14ac:dyDescent="0.25">
      <c r="A34" s="2" t="s">
        <v>149</v>
      </c>
      <c r="B34" s="2" t="s">
        <v>150</v>
      </c>
      <c r="C34" s="2" t="str">
        <f>TEXT(TransactionsTable500[[#This Row],[Order Date]],"mmm")</f>
        <v>Feb</v>
      </c>
      <c r="D34" s="2" t="s">
        <v>69</v>
      </c>
      <c r="E34" s="2" t="s">
        <v>70</v>
      </c>
      <c r="F34" s="2" t="s">
        <v>44</v>
      </c>
      <c r="G34" s="2" t="s">
        <v>71</v>
      </c>
      <c r="H34" s="2" t="s">
        <v>72</v>
      </c>
      <c r="I34" s="2" t="s">
        <v>58</v>
      </c>
      <c r="J34" s="2">
        <v>1</v>
      </c>
      <c r="K34" s="3">
        <v>15.46</v>
      </c>
      <c r="L34" s="3">
        <v>15.46</v>
      </c>
      <c r="M34" s="4">
        <v>0.1</v>
      </c>
      <c r="N34" s="3">
        <v>1.55</v>
      </c>
      <c r="O34" s="3">
        <v>13.91</v>
      </c>
      <c r="P34" s="3">
        <v>5.0999999999999996</v>
      </c>
      <c r="Q34" s="3">
        <v>8.81</v>
      </c>
      <c r="R34" s="2" t="s">
        <v>48</v>
      </c>
      <c r="S34" s="2" t="s">
        <v>29</v>
      </c>
      <c r="T34" s="2" t="s">
        <v>30</v>
      </c>
      <c r="U34" s="2">
        <v>5</v>
      </c>
    </row>
    <row r="35" spans="1:21" x14ac:dyDescent="0.25">
      <c r="A35" s="2" t="s">
        <v>151</v>
      </c>
      <c r="B35" s="2" t="s">
        <v>152</v>
      </c>
      <c r="C35" s="2" t="str">
        <f>TEXT(TransactionsTable500[[#This Row],[Order Date]],"mmm")</f>
        <v>Feb</v>
      </c>
      <c r="D35" s="2" t="s">
        <v>42</v>
      </c>
      <c r="E35" s="2" t="s">
        <v>43</v>
      </c>
      <c r="F35" s="2" t="s">
        <v>44</v>
      </c>
      <c r="G35" s="2" t="s">
        <v>45</v>
      </c>
      <c r="H35" s="2" t="s">
        <v>72</v>
      </c>
      <c r="I35" s="2" t="s">
        <v>58</v>
      </c>
      <c r="J35" s="2">
        <v>4</v>
      </c>
      <c r="K35" s="3">
        <v>15.02</v>
      </c>
      <c r="L35" s="3">
        <v>60.08</v>
      </c>
      <c r="M35" s="4">
        <v>0</v>
      </c>
      <c r="N35" s="3">
        <v>0</v>
      </c>
      <c r="O35" s="3">
        <v>60.08</v>
      </c>
      <c r="P35" s="3">
        <v>23.66</v>
      </c>
      <c r="Q35" s="3">
        <v>36.42</v>
      </c>
      <c r="R35" s="2" t="s">
        <v>48</v>
      </c>
      <c r="S35" s="2" t="s">
        <v>29</v>
      </c>
      <c r="T35" s="2" t="s">
        <v>90</v>
      </c>
      <c r="U35" s="2">
        <v>5</v>
      </c>
    </row>
    <row r="36" spans="1:21" x14ac:dyDescent="0.25">
      <c r="A36" s="2" t="s">
        <v>153</v>
      </c>
      <c r="B36" s="2" t="s">
        <v>154</v>
      </c>
      <c r="C36" s="2" t="str">
        <f>TEXT(TransactionsTable500[[#This Row],[Order Date]],"mmm")</f>
        <v>Feb</v>
      </c>
      <c r="D36" s="2" t="s">
        <v>155</v>
      </c>
      <c r="E36" s="2" t="s">
        <v>61</v>
      </c>
      <c r="F36" s="2" t="s">
        <v>62</v>
      </c>
      <c r="G36" s="2" t="s">
        <v>156</v>
      </c>
      <c r="H36" s="2" t="s">
        <v>157</v>
      </c>
      <c r="I36" s="2" t="s">
        <v>47</v>
      </c>
      <c r="J36" s="2">
        <v>3</v>
      </c>
      <c r="K36" s="3">
        <v>7.91</v>
      </c>
      <c r="L36" s="3">
        <v>23.73</v>
      </c>
      <c r="M36" s="4">
        <v>0</v>
      </c>
      <c r="N36" s="3">
        <v>0</v>
      </c>
      <c r="O36" s="3">
        <v>23.73</v>
      </c>
      <c r="P36" s="3">
        <v>9.68</v>
      </c>
      <c r="Q36" s="3">
        <v>14.05</v>
      </c>
      <c r="R36" s="2" t="s">
        <v>28</v>
      </c>
      <c r="S36" s="2" t="s">
        <v>29</v>
      </c>
      <c r="T36" s="2" t="s">
        <v>90</v>
      </c>
      <c r="U36" s="2">
        <v>4</v>
      </c>
    </row>
    <row r="37" spans="1:21" x14ac:dyDescent="0.25">
      <c r="A37" s="2" t="s">
        <v>158</v>
      </c>
      <c r="B37" s="2" t="s">
        <v>159</v>
      </c>
      <c r="C37" s="2" t="str">
        <f>TEXT(TransactionsTable500[[#This Row],[Order Date]],"mmm")</f>
        <v>Feb</v>
      </c>
      <c r="D37" s="2" t="s">
        <v>118</v>
      </c>
      <c r="E37" s="2" t="s">
        <v>119</v>
      </c>
      <c r="F37" s="2" t="s">
        <v>24</v>
      </c>
      <c r="G37" s="2" t="s">
        <v>120</v>
      </c>
      <c r="H37" s="2" t="s">
        <v>112</v>
      </c>
      <c r="I37" s="2" t="s">
        <v>100</v>
      </c>
      <c r="J37" s="2">
        <v>1</v>
      </c>
      <c r="K37" s="3">
        <v>3.94</v>
      </c>
      <c r="L37" s="3">
        <v>3.94</v>
      </c>
      <c r="M37" s="4">
        <v>0</v>
      </c>
      <c r="N37" s="3">
        <v>0</v>
      </c>
      <c r="O37" s="3">
        <v>3.94</v>
      </c>
      <c r="P37" s="3">
        <v>1.38</v>
      </c>
      <c r="Q37" s="3">
        <v>2.56</v>
      </c>
      <c r="R37" s="2" t="s">
        <v>28</v>
      </c>
      <c r="S37" s="2" t="s">
        <v>87</v>
      </c>
      <c r="T37" s="2" t="s">
        <v>37</v>
      </c>
      <c r="U37" s="2">
        <v>2</v>
      </c>
    </row>
    <row r="38" spans="1:21" x14ac:dyDescent="0.25">
      <c r="A38" s="2" t="s">
        <v>160</v>
      </c>
      <c r="B38" s="2" t="s">
        <v>159</v>
      </c>
      <c r="C38" s="2" t="str">
        <f>TEXT(TransactionsTable500[[#This Row],[Order Date]],"mmm")</f>
        <v>Feb</v>
      </c>
      <c r="D38" s="2" t="s">
        <v>84</v>
      </c>
      <c r="E38" s="2" t="s">
        <v>61</v>
      </c>
      <c r="F38" s="2" t="s">
        <v>62</v>
      </c>
      <c r="G38" s="2" t="s">
        <v>85</v>
      </c>
      <c r="H38" s="2" t="s">
        <v>93</v>
      </c>
      <c r="I38" s="2" t="s">
        <v>65</v>
      </c>
      <c r="J38" s="2">
        <v>1</v>
      </c>
      <c r="K38" s="3">
        <v>3.47</v>
      </c>
      <c r="L38" s="3">
        <v>3.47</v>
      </c>
      <c r="M38" s="4">
        <v>0</v>
      </c>
      <c r="N38" s="3">
        <v>0</v>
      </c>
      <c r="O38" s="3">
        <v>3.47</v>
      </c>
      <c r="P38" s="3">
        <v>1.1599999999999999</v>
      </c>
      <c r="Q38" s="3">
        <v>2.31</v>
      </c>
      <c r="R38" s="2" t="s">
        <v>48</v>
      </c>
      <c r="S38" s="2" t="s">
        <v>66</v>
      </c>
      <c r="T38" s="2" t="s">
        <v>90</v>
      </c>
      <c r="U38" s="2">
        <v>4</v>
      </c>
    </row>
    <row r="39" spans="1:21" x14ac:dyDescent="0.25">
      <c r="A39" s="2" t="s">
        <v>161</v>
      </c>
      <c r="B39" s="2" t="s">
        <v>162</v>
      </c>
      <c r="C39" s="2" t="str">
        <f>TEXT(TransactionsTable500[[#This Row],[Order Date]],"mmm")</f>
        <v>Feb</v>
      </c>
      <c r="D39" s="2" t="s">
        <v>143</v>
      </c>
      <c r="E39" s="2" t="s">
        <v>43</v>
      </c>
      <c r="F39" s="2" t="s">
        <v>44</v>
      </c>
      <c r="G39" s="2" t="s">
        <v>144</v>
      </c>
      <c r="H39" s="2" t="s">
        <v>140</v>
      </c>
      <c r="I39" s="2" t="s">
        <v>58</v>
      </c>
      <c r="J39" s="2">
        <v>1</v>
      </c>
      <c r="K39" s="3">
        <v>13.07</v>
      </c>
      <c r="L39" s="3">
        <v>13.07</v>
      </c>
      <c r="M39" s="4">
        <v>0</v>
      </c>
      <c r="N39" s="3">
        <v>0</v>
      </c>
      <c r="O39" s="3">
        <v>13.07</v>
      </c>
      <c r="P39" s="3">
        <v>5.24</v>
      </c>
      <c r="Q39" s="3">
        <v>7.83</v>
      </c>
      <c r="R39" s="2" t="s">
        <v>28</v>
      </c>
      <c r="S39" s="2" t="s">
        <v>66</v>
      </c>
      <c r="T39" s="2" t="s">
        <v>37</v>
      </c>
      <c r="U39" s="2">
        <v>5</v>
      </c>
    </row>
    <row r="40" spans="1:21" x14ac:dyDescent="0.25">
      <c r="A40" s="2" t="s">
        <v>163</v>
      </c>
      <c r="B40" s="2" t="s">
        <v>164</v>
      </c>
      <c r="C40" s="2" t="str">
        <f>TEXT(TransactionsTable500[[#This Row],[Order Date]],"mmm")</f>
        <v>Feb</v>
      </c>
      <c r="D40" s="2" t="s">
        <v>165</v>
      </c>
      <c r="E40" s="2" t="s">
        <v>61</v>
      </c>
      <c r="F40" s="2" t="s">
        <v>62</v>
      </c>
      <c r="G40" s="2" t="s">
        <v>130</v>
      </c>
      <c r="H40" s="2" t="s">
        <v>57</v>
      </c>
      <c r="I40" s="2" t="s">
        <v>58</v>
      </c>
      <c r="J40" s="2">
        <v>3</v>
      </c>
      <c r="K40" s="3">
        <v>8.82</v>
      </c>
      <c r="L40" s="3">
        <v>26.46</v>
      </c>
      <c r="M40" s="4">
        <v>0</v>
      </c>
      <c r="N40" s="3">
        <v>0</v>
      </c>
      <c r="O40" s="3">
        <v>26.46</v>
      </c>
      <c r="P40" s="3">
        <v>8.74</v>
      </c>
      <c r="Q40" s="3">
        <v>17.72</v>
      </c>
      <c r="R40" s="2" t="s">
        <v>48</v>
      </c>
      <c r="S40" s="2" t="s">
        <v>87</v>
      </c>
      <c r="T40" s="2" t="s">
        <v>37</v>
      </c>
      <c r="U40" s="2">
        <v>4</v>
      </c>
    </row>
    <row r="41" spans="1:21" x14ac:dyDescent="0.25">
      <c r="A41" s="2" t="s">
        <v>166</v>
      </c>
      <c r="B41" s="2" t="s">
        <v>167</v>
      </c>
      <c r="C41" s="2" t="str">
        <f>TEXT(TransactionsTable500[[#This Row],[Order Date]],"mmm")</f>
        <v>Feb</v>
      </c>
      <c r="D41" s="2" t="s">
        <v>105</v>
      </c>
      <c r="E41" s="2" t="s">
        <v>61</v>
      </c>
      <c r="F41" s="2" t="s">
        <v>62</v>
      </c>
      <c r="G41" s="2" t="s">
        <v>85</v>
      </c>
      <c r="H41" s="2" t="s">
        <v>26</v>
      </c>
      <c r="I41" s="2" t="s">
        <v>27</v>
      </c>
      <c r="J41" s="2">
        <v>1</v>
      </c>
      <c r="K41" s="3">
        <v>5.37</v>
      </c>
      <c r="L41" s="3">
        <v>5.37</v>
      </c>
      <c r="M41" s="4">
        <v>0</v>
      </c>
      <c r="N41" s="3">
        <v>0</v>
      </c>
      <c r="O41" s="3">
        <v>5.37</v>
      </c>
      <c r="P41" s="3">
        <v>1.75</v>
      </c>
      <c r="Q41" s="3">
        <v>3.62</v>
      </c>
      <c r="R41" s="2" t="s">
        <v>48</v>
      </c>
      <c r="S41" s="2" t="s">
        <v>29</v>
      </c>
      <c r="T41" s="2" t="s">
        <v>30</v>
      </c>
      <c r="U41" s="2">
        <v>5</v>
      </c>
    </row>
    <row r="42" spans="1:21" x14ac:dyDescent="0.25">
      <c r="A42" s="2" t="s">
        <v>168</v>
      </c>
      <c r="B42" s="2" t="s">
        <v>167</v>
      </c>
      <c r="C42" s="2" t="str">
        <f>TEXT(TransactionsTable500[[#This Row],[Order Date]],"mmm")</f>
        <v>Feb</v>
      </c>
      <c r="D42" s="2" t="s">
        <v>105</v>
      </c>
      <c r="E42" s="2" t="s">
        <v>61</v>
      </c>
      <c r="F42" s="2" t="s">
        <v>62</v>
      </c>
      <c r="G42" s="2" t="s">
        <v>85</v>
      </c>
      <c r="H42" s="2" t="s">
        <v>169</v>
      </c>
      <c r="I42" s="2" t="s">
        <v>65</v>
      </c>
      <c r="J42" s="2">
        <v>2</v>
      </c>
      <c r="K42" s="3">
        <v>3.27</v>
      </c>
      <c r="L42" s="3">
        <v>6.54</v>
      </c>
      <c r="M42" s="4">
        <v>0.05</v>
      </c>
      <c r="N42" s="3">
        <v>0.33</v>
      </c>
      <c r="O42" s="3">
        <v>6.21</v>
      </c>
      <c r="P42" s="3">
        <v>2.11</v>
      </c>
      <c r="Q42" s="3">
        <v>4.0999999999999996</v>
      </c>
      <c r="R42" s="2" t="s">
        <v>48</v>
      </c>
      <c r="S42" s="2" t="s">
        <v>36</v>
      </c>
      <c r="T42" s="2" t="s">
        <v>30</v>
      </c>
      <c r="U42" s="2">
        <v>5</v>
      </c>
    </row>
    <row r="43" spans="1:21" x14ac:dyDescent="0.25">
      <c r="A43" s="2" t="s">
        <v>170</v>
      </c>
      <c r="B43" s="2" t="s">
        <v>171</v>
      </c>
      <c r="C43" s="2" t="str">
        <f>TEXT(TransactionsTable500[[#This Row],[Order Date]],"mmm")</f>
        <v>Feb</v>
      </c>
      <c r="D43" s="2" t="s">
        <v>22</v>
      </c>
      <c r="E43" s="2" t="s">
        <v>23</v>
      </c>
      <c r="F43" s="2" t="s">
        <v>24</v>
      </c>
      <c r="G43" s="2" t="s">
        <v>25</v>
      </c>
      <c r="H43" s="2" t="s">
        <v>106</v>
      </c>
      <c r="I43" s="2" t="s">
        <v>100</v>
      </c>
      <c r="J43" s="2">
        <v>3</v>
      </c>
      <c r="K43" s="3">
        <v>3.38</v>
      </c>
      <c r="L43" s="3">
        <v>10.14</v>
      </c>
      <c r="M43" s="4">
        <v>0</v>
      </c>
      <c r="N43" s="3">
        <v>0</v>
      </c>
      <c r="O43" s="3">
        <v>10.14</v>
      </c>
      <c r="P43" s="3">
        <v>3.32</v>
      </c>
      <c r="Q43" s="3">
        <v>6.82</v>
      </c>
      <c r="R43" s="2" t="s">
        <v>28</v>
      </c>
      <c r="S43" s="2" t="s">
        <v>29</v>
      </c>
      <c r="T43" s="2" t="s">
        <v>30</v>
      </c>
      <c r="U43" s="2">
        <v>5</v>
      </c>
    </row>
    <row r="44" spans="1:21" x14ac:dyDescent="0.25">
      <c r="A44" s="2" t="s">
        <v>172</v>
      </c>
      <c r="B44" s="2" t="s">
        <v>171</v>
      </c>
      <c r="C44" s="2" t="str">
        <f>TEXT(TransactionsTable500[[#This Row],[Order Date]],"mmm")</f>
        <v>Feb</v>
      </c>
      <c r="D44" s="2" t="s">
        <v>143</v>
      </c>
      <c r="E44" s="2" t="s">
        <v>43</v>
      </c>
      <c r="F44" s="2" t="s">
        <v>44</v>
      </c>
      <c r="G44" s="2" t="s">
        <v>144</v>
      </c>
      <c r="H44" s="2" t="s">
        <v>77</v>
      </c>
      <c r="I44" s="2" t="s">
        <v>47</v>
      </c>
      <c r="J44" s="2">
        <v>1</v>
      </c>
      <c r="K44" s="3">
        <v>6.59</v>
      </c>
      <c r="L44" s="3">
        <v>6.59</v>
      </c>
      <c r="M44" s="4">
        <v>0</v>
      </c>
      <c r="N44" s="3">
        <v>0</v>
      </c>
      <c r="O44" s="3">
        <v>6.59</v>
      </c>
      <c r="P44" s="3">
        <v>2.3199999999999998</v>
      </c>
      <c r="Q44" s="3">
        <v>4.2699999999999996</v>
      </c>
      <c r="R44" s="2" t="s">
        <v>28</v>
      </c>
      <c r="S44" s="2" t="s">
        <v>66</v>
      </c>
      <c r="T44" s="2" t="s">
        <v>90</v>
      </c>
      <c r="U44" s="2">
        <v>3</v>
      </c>
    </row>
    <row r="45" spans="1:21" x14ac:dyDescent="0.25">
      <c r="A45" s="2" t="s">
        <v>173</v>
      </c>
      <c r="B45" s="2" t="s">
        <v>174</v>
      </c>
      <c r="C45" s="2" t="str">
        <f>TEXT(TransactionsTable500[[#This Row],[Order Date]],"mmm")</f>
        <v>Feb</v>
      </c>
      <c r="D45" s="2" t="s">
        <v>127</v>
      </c>
      <c r="E45" s="2" t="s">
        <v>23</v>
      </c>
      <c r="F45" s="2" t="s">
        <v>24</v>
      </c>
      <c r="G45" s="2" t="s">
        <v>25</v>
      </c>
      <c r="H45" s="2" t="s">
        <v>93</v>
      </c>
      <c r="I45" s="2" t="s">
        <v>65</v>
      </c>
      <c r="J45" s="2">
        <v>1</v>
      </c>
      <c r="K45" s="3">
        <v>3.69</v>
      </c>
      <c r="L45" s="3">
        <v>3.69</v>
      </c>
      <c r="M45" s="4">
        <v>0</v>
      </c>
      <c r="N45" s="3">
        <v>0</v>
      </c>
      <c r="O45" s="3">
        <v>3.69</v>
      </c>
      <c r="P45" s="3">
        <v>1.25</v>
      </c>
      <c r="Q45" s="3">
        <v>2.44</v>
      </c>
      <c r="R45" s="2" t="s">
        <v>48</v>
      </c>
      <c r="S45" s="2" t="s">
        <v>29</v>
      </c>
      <c r="T45" s="2" t="s">
        <v>30</v>
      </c>
      <c r="U45" s="2">
        <v>5</v>
      </c>
    </row>
    <row r="46" spans="1:21" x14ac:dyDescent="0.25">
      <c r="A46" s="2" t="s">
        <v>175</v>
      </c>
      <c r="B46" s="2" t="s">
        <v>176</v>
      </c>
      <c r="C46" s="2" t="str">
        <f>TEXT(TransactionsTable500[[#This Row],[Order Date]],"mmm")</f>
        <v>Feb</v>
      </c>
      <c r="D46" s="2" t="s">
        <v>177</v>
      </c>
      <c r="E46" s="2" t="s">
        <v>43</v>
      </c>
      <c r="F46" s="2" t="s">
        <v>44</v>
      </c>
      <c r="G46" s="2" t="s">
        <v>45</v>
      </c>
      <c r="H46" s="2" t="s">
        <v>122</v>
      </c>
      <c r="I46" s="2" t="s">
        <v>47</v>
      </c>
      <c r="J46" s="2">
        <v>4</v>
      </c>
      <c r="K46" s="3">
        <v>7.07</v>
      </c>
      <c r="L46" s="3">
        <v>28.28</v>
      </c>
      <c r="M46" s="4">
        <v>0.05</v>
      </c>
      <c r="N46" s="3">
        <v>1.41</v>
      </c>
      <c r="O46" s="3">
        <v>26.87</v>
      </c>
      <c r="P46" s="3">
        <v>9.2100000000000009</v>
      </c>
      <c r="Q46" s="3">
        <v>17.66</v>
      </c>
      <c r="R46" s="2" t="s">
        <v>28</v>
      </c>
      <c r="S46" s="2" t="s">
        <v>66</v>
      </c>
      <c r="T46" s="2" t="s">
        <v>30</v>
      </c>
      <c r="U46" s="2">
        <v>5</v>
      </c>
    </row>
    <row r="47" spans="1:21" x14ac:dyDescent="0.25">
      <c r="A47" s="2" t="s">
        <v>178</v>
      </c>
      <c r="B47" s="2" t="s">
        <v>176</v>
      </c>
      <c r="C47" s="2" t="str">
        <f>TEXT(TransactionsTable500[[#This Row],[Order Date]],"mmm")</f>
        <v>Feb</v>
      </c>
      <c r="D47" s="2" t="s">
        <v>143</v>
      </c>
      <c r="E47" s="2" t="s">
        <v>43</v>
      </c>
      <c r="F47" s="2" t="s">
        <v>44</v>
      </c>
      <c r="G47" s="2" t="s">
        <v>144</v>
      </c>
      <c r="H47" s="2" t="s">
        <v>72</v>
      </c>
      <c r="I47" s="2" t="s">
        <v>58</v>
      </c>
      <c r="J47" s="2">
        <v>1</v>
      </c>
      <c r="K47" s="3">
        <v>14.57</v>
      </c>
      <c r="L47" s="3">
        <v>14.57</v>
      </c>
      <c r="M47" s="4">
        <v>0</v>
      </c>
      <c r="N47" s="3">
        <v>0</v>
      </c>
      <c r="O47" s="3">
        <v>14.57</v>
      </c>
      <c r="P47" s="3">
        <v>5.76</v>
      </c>
      <c r="Q47" s="3">
        <v>8.81</v>
      </c>
      <c r="R47" s="2" t="s">
        <v>48</v>
      </c>
      <c r="S47" s="2" t="s">
        <v>29</v>
      </c>
      <c r="T47" s="2" t="s">
        <v>30</v>
      </c>
      <c r="U47" s="2">
        <v>4</v>
      </c>
    </row>
    <row r="48" spans="1:21" x14ac:dyDescent="0.25">
      <c r="A48" s="2" t="s">
        <v>179</v>
      </c>
      <c r="B48" s="2" t="s">
        <v>180</v>
      </c>
      <c r="C48" s="2" t="str">
        <f>TEXT(TransactionsTable500[[#This Row],[Order Date]],"mmm")</f>
        <v>Feb</v>
      </c>
      <c r="D48" s="2" t="s">
        <v>105</v>
      </c>
      <c r="E48" s="2" t="s">
        <v>61</v>
      </c>
      <c r="F48" s="2" t="s">
        <v>62</v>
      </c>
      <c r="G48" s="2" t="s">
        <v>85</v>
      </c>
      <c r="H48" s="2" t="s">
        <v>86</v>
      </c>
      <c r="I48" s="2" t="s">
        <v>27</v>
      </c>
      <c r="J48" s="2">
        <v>5</v>
      </c>
      <c r="K48" s="3">
        <v>4.62</v>
      </c>
      <c r="L48" s="3">
        <v>23.1</v>
      </c>
      <c r="M48" s="4">
        <v>0</v>
      </c>
      <c r="N48" s="3">
        <v>0</v>
      </c>
      <c r="O48" s="3">
        <v>23.1</v>
      </c>
      <c r="P48" s="3">
        <v>8.58</v>
      </c>
      <c r="Q48" s="3">
        <v>14.52</v>
      </c>
      <c r="R48" s="2" t="s">
        <v>96</v>
      </c>
      <c r="S48" s="2" t="s">
        <v>36</v>
      </c>
      <c r="T48" s="2" t="s">
        <v>30</v>
      </c>
      <c r="U48" s="2">
        <v>5</v>
      </c>
    </row>
    <row r="49" spans="1:21" x14ac:dyDescent="0.25">
      <c r="A49" s="2" t="s">
        <v>181</v>
      </c>
      <c r="B49" s="2" t="s">
        <v>182</v>
      </c>
      <c r="C49" s="2" t="str">
        <f>TEXT(TransactionsTable500[[#This Row],[Order Date]],"mmm")</f>
        <v>Feb</v>
      </c>
      <c r="D49" s="2" t="s">
        <v>183</v>
      </c>
      <c r="E49" s="2" t="s">
        <v>184</v>
      </c>
      <c r="F49" s="2" t="s">
        <v>62</v>
      </c>
      <c r="G49" s="2" t="s">
        <v>185</v>
      </c>
      <c r="H49" s="2" t="s">
        <v>103</v>
      </c>
      <c r="I49" s="2" t="s">
        <v>27</v>
      </c>
      <c r="J49" s="2">
        <v>1</v>
      </c>
      <c r="K49" s="3">
        <v>4.79</v>
      </c>
      <c r="L49" s="3">
        <v>4.79</v>
      </c>
      <c r="M49" s="4">
        <v>0.05</v>
      </c>
      <c r="N49" s="3">
        <v>0.24</v>
      </c>
      <c r="O49" s="3">
        <v>4.55</v>
      </c>
      <c r="P49" s="3">
        <v>1.87</v>
      </c>
      <c r="Q49" s="3">
        <v>2.68</v>
      </c>
      <c r="R49" s="2" t="s">
        <v>48</v>
      </c>
      <c r="S49" s="2" t="s">
        <v>29</v>
      </c>
      <c r="T49" s="2" t="s">
        <v>37</v>
      </c>
      <c r="U49" s="2">
        <v>5</v>
      </c>
    </row>
    <row r="50" spans="1:21" x14ac:dyDescent="0.25">
      <c r="A50" s="2" t="s">
        <v>186</v>
      </c>
      <c r="B50" s="2" t="s">
        <v>187</v>
      </c>
      <c r="C50" s="2" t="str">
        <f>TEXT(TransactionsTable500[[#This Row],[Order Date]],"mmm")</f>
        <v>Feb</v>
      </c>
      <c r="D50" s="2" t="s">
        <v>165</v>
      </c>
      <c r="E50" s="2" t="s">
        <v>61</v>
      </c>
      <c r="F50" s="2" t="s">
        <v>62</v>
      </c>
      <c r="G50" s="2" t="s">
        <v>130</v>
      </c>
      <c r="H50" s="2" t="s">
        <v>157</v>
      </c>
      <c r="I50" s="2" t="s">
        <v>47</v>
      </c>
      <c r="J50" s="2">
        <v>3</v>
      </c>
      <c r="K50" s="3">
        <v>7.56</v>
      </c>
      <c r="L50" s="3">
        <v>22.68</v>
      </c>
      <c r="M50" s="4">
        <v>0</v>
      </c>
      <c r="N50" s="3">
        <v>0</v>
      </c>
      <c r="O50" s="3">
        <v>22.68</v>
      </c>
      <c r="P50" s="3">
        <v>9.48</v>
      </c>
      <c r="Q50" s="3">
        <v>13.2</v>
      </c>
      <c r="R50" s="2" t="s">
        <v>96</v>
      </c>
      <c r="S50" s="2" t="s">
        <v>29</v>
      </c>
      <c r="T50" s="2" t="s">
        <v>90</v>
      </c>
      <c r="U50" s="2">
        <v>4</v>
      </c>
    </row>
    <row r="51" spans="1:21" x14ac:dyDescent="0.25">
      <c r="A51" s="2" t="s">
        <v>188</v>
      </c>
      <c r="B51" s="2" t="s">
        <v>189</v>
      </c>
      <c r="C51" s="2" t="str">
        <f>TEXT(TransactionsTable500[[#This Row],[Order Date]],"mmm")</f>
        <v>Feb</v>
      </c>
      <c r="D51" s="2" t="s">
        <v>32</v>
      </c>
      <c r="E51" s="2" t="s">
        <v>33</v>
      </c>
      <c r="F51" s="2" t="s">
        <v>34</v>
      </c>
      <c r="G51" s="2" t="s">
        <v>35</v>
      </c>
      <c r="H51" s="2" t="s">
        <v>122</v>
      </c>
      <c r="I51" s="2" t="s">
        <v>47</v>
      </c>
      <c r="J51" s="2">
        <v>3</v>
      </c>
      <c r="K51" s="3">
        <v>6.83</v>
      </c>
      <c r="L51" s="3">
        <v>20.49</v>
      </c>
      <c r="M51" s="4">
        <v>0</v>
      </c>
      <c r="N51" s="3">
        <v>0</v>
      </c>
      <c r="O51" s="3">
        <v>20.49</v>
      </c>
      <c r="P51" s="3">
        <v>6.6</v>
      </c>
      <c r="Q51" s="3">
        <v>13.89</v>
      </c>
      <c r="R51" s="2" t="s">
        <v>48</v>
      </c>
      <c r="S51" s="2" t="s">
        <v>66</v>
      </c>
      <c r="T51" s="2" t="s">
        <v>30</v>
      </c>
      <c r="U51" s="2">
        <v>5</v>
      </c>
    </row>
    <row r="52" spans="1:21" x14ac:dyDescent="0.25">
      <c r="A52" s="2" t="s">
        <v>190</v>
      </c>
      <c r="B52" s="2" t="s">
        <v>191</v>
      </c>
      <c r="C52" s="2" t="str">
        <f>TEXT(TransactionsTable500[[#This Row],[Order Date]],"mmm")</f>
        <v>Feb</v>
      </c>
      <c r="D52" s="2" t="s">
        <v>165</v>
      </c>
      <c r="E52" s="2" t="s">
        <v>61</v>
      </c>
      <c r="F52" s="2" t="s">
        <v>62</v>
      </c>
      <c r="G52" s="2" t="s">
        <v>130</v>
      </c>
      <c r="H52" s="2" t="s">
        <v>169</v>
      </c>
      <c r="I52" s="2" t="s">
        <v>65</v>
      </c>
      <c r="J52" s="2">
        <v>4</v>
      </c>
      <c r="K52" s="3">
        <v>3.22</v>
      </c>
      <c r="L52" s="3">
        <v>12.88</v>
      </c>
      <c r="M52" s="4">
        <v>0.1</v>
      </c>
      <c r="N52" s="3">
        <v>1.29</v>
      </c>
      <c r="O52" s="3">
        <v>11.59</v>
      </c>
      <c r="P52" s="3">
        <v>4.7699999999999996</v>
      </c>
      <c r="Q52" s="3">
        <v>6.82</v>
      </c>
      <c r="R52" s="2" t="s">
        <v>48</v>
      </c>
      <c r="S52" s="2" t="s">
        <v>29</v>
      </c>
      <c r="T52" s="2" t="s">
        <v>37</v>
      </c>
      <c r="U52" s="2">
        <v>4</v>
      </c>
    </row>
    <row r="53" spans="1:21" x14ac:dyDescent="0.25">
      <c r="A53" s="2" t="s">
        <v>192</v>
      </c>
      <c r="B53" s="2" t="s">
        <v>193</v>
      </c>
      <c r="C53" s="2" t="str">
        <f>TEXT(TransactionsTable500[[#This Row],[Order Date]],"mmm")</f>
        <v>Feb</v>
      </c>
      <c r="D53" s="2" t="s">
        <v>118</v>
      </c>
      <c r="E53" s="2" t="s">
        <v>119</v>
      </c>
      <c r="F53" s="2" t="s">
        <v>24</v>
      </c>
      <c r="G53" s="2" t="s">
        <v>120</v>
      </c>
      <c r="H53" s="2" t="s">
        <v>57</v>
      </c>
      <c r="I53" s="2" t="s">
        <v>58</v>
      </c>
      <c r="J53" s="2">
        <v>2</v>
      </c>
      <c r="K53" s="3">
        <v>8.61</v>
      </c>
      <c r="L53" s="3">
        <v>17.22</v>
      </c>
      <c r="M53" s="4">
        <v>0</v>
      </c>
      <c r="N53" s="3">
        <v>0</v>
      </c>
      <c r="O53" s="3">
        <v>17.22</v>
      </c>
      <c r="P53" s="3">
        <v>6.14</v>
      </c>
      <c r="Q53" s="3">
        <v>11.08</v>
      </c>
      <c r="R53" s="2" t="s">
        <v>96</v>
      </c>
      <c r="S53" s="2" t="s">
        <v>66</v>
      </c>
      <c r="T53" s="2" t="s">
        <v>37</v>
      </c>
      <c r="U53" s="2">
        <v>4</v>
      </c>
    </row>
    <row r="54" spans="1:21" x14ac:dyDescent="0.25">
      <c r="A54" s="2" t="s">
        <v>194</v>
      </c>
      <c r="B54" s="2" t="s">
        <v>195</v>
      </c>
      <c r="C54" s="2" t="str">
        <f>TEXT(TransactionsTable500[[#This Row],[Order Date]],"mmm")</f>
        <v>Feb</v>
      </c>
      <c r="D54" s="2" t="s">
        <v>75</v>
      </c>
      <c r="E54" s="2" t="s">
        <v>70</v>
      </c>
      <c r="F54" s="2" t="s">
        <v>44</v>
      </c>
      <c r="G54" s="2" t="s">
        <v>76</v>
      </c>
      <c r="H54" s="2" t="s">
        <v>57</v>
      </c>
      <c r="I54" s="2" t="s">
        <v>58</v>
      </c>
      <c r="J54" s="2">
        <v>4</v>
      </c>
      <c r="K54" s="3">
        <v>9.15</v>
      </c>
      <c r="L54" s="3">
        <v>36.6</v>
      </c>
      <c r="M54" s="4">
        <v>0.1</v>
      </c>
      <c r="N54" s="3">
        <v>3.66</v>
      </c>
      <c r="O54" s="3">
        <v>32.94</v>
      </c>
      <c r="P54" s="3">
        <v>13.07</v>
      </c>
      <c r="Q54" s="3">
        <v>19.87</v>
      </c>
      <c r="R54" s="2" t="s">
        <v>28</v>
      </c>
      <c r="S54" s="2" t="s">
        <v>29</v>
      </c>
      <c r="T54" s="2" t="s">
        <v>90</v>
      </c>
      <c r="U54" s="2">
        <v>4</v>
      </c>
    </row>
    <row r="55" spans="1:21" x14ac:dyDescent="0.25">
      <c r="A55" s="2" t="s">
        <v>196</v>
      </c>
      <c r="B55" s="2" t="s">
        <v>197</v>
      </c>
      <c r="C55" s="2" t="str">
        <f>TEXT(TransactionsTable500[[#This Row],[Order Date]],"mmm")</f>
        <v>Mar</v>
      </c>
      <c r="D55" s="2" t="s">
        <v>139</v>
      </c>
      <c r="E55" s="2" t="s">
        <v>70</v>
      </c>
      <c r="F55" s="2" t="s">
        <v>44</v>
      </c>
      <c r="G55" s="2" t="s">
        <v>71</v>
      </c>
      <c r="H55" s="2" t="s">
        <v>112</v>
      </c>
      <c r="I55" s="2" t="s">
        <v>100</v>
      </c>
      <c r="J55" s="2">
        <v>1</v>
      </c>
      <c r="K55" s="3">
        <v>3.67</v>
      </c>
      <c r="L55" s="3">
        <v>3.67</v>
      </c>
      <c r="M55" s="4">
        <v>0</v>
      </c>
      <c r="N55" s="3">
        <v>0</v>
      </c>
      <c r="O55" s="3">
        <v>3.67</v>
      </c>
      <c r="P55" s="3">
        <v>1.21</v>
      </c>
      <c r="Q55" s="3">
        <v>2.46</v>
      </c>
      <c r="R55" s="2" t="s">
        <v>28</v>
      </c>
      <c r="S55" s="2" t="s">
        <v>29</v>
      </c>
      <c r="T55" s="2" t="s">
        <v>30</v>
      </c>
      <c r="U55" s="2">
        <v>5</v>
      </c>
    </row>
    <row r="56" spans="1:21" x14ac:dyDescent="0.25">
      <c r="A56" s="2" t="s">
        <v>198</v>
      </c>
      <c r="B56" s="2" t="s">
        <v>197</v>
      </c>
      <c r="C56" s="2" t="str">
        <f>TEXT(TransactionsTable500[[#This Row],[Order Date]],"mmm")</f>
        <v>Mar</v>
      </c>
      <c r="D56" s="2" t="s">
        <v>199</v>
      </c>
      <c r="E56" s="2" t="s">
        <v>70</v>
      </c>
      <c r="F56" s="2" t="s">
        <v>44</v>
      </c>
      <c r="G56" s="2" t="s">
        <v>200</v>
      </c>
      <c r="H56" s="2" t="s">
        <v>26</v>
      </c>
      <c r="I56" s="2" t="s">
        <v>27</v>
      </c>
      <c r="J56" s="2">
        <v>2</v>
      </c>
      <c r="K56" s="3">
        <v>5.32</v>
      </c>
      <c r="L56" s="3">
        <v>10.64</v>
      </c>
      <c r="M56" s="4">
        <v>0</v>
      </c>
      <c r="N56" s="3">
        <v>0</v>
      </c>
      <c r="O56" s="3">
        <v>10.64</v>
      </c>
      <c r="P56" s="3">
        <v>3.45</v>
      </c>
      <c r="Q56" s="3">
        <v>7.19</v>
      </c>
      <c r="R56" s="2" t="s">
        <v>48</v>
      </c>
      <c r="S56" s="2" t="s">
        <v>87</v>
      </c>
      <c r="T56" s="2" t="s">
        <v>30</v>
      </c>
      <c r="U56" s="2">
        <v>5</v>
      </c>
    </row>
    <row r="57" spans="1:21" x14ac:dyDescent="0.25">
      <c r="A57" s="2" t="s">
        <v>201</v>
      </c>
      <c r="B57" s="2" t="s">
        <v>202</v>
      </c>
      <c r="C57" s="2" t="str">
        <f>TEXT(TransactionsTable500[[#This Row],[Order Date]],"mmm")</f>
        <v>Mar</v>
      </c>
      <c r="D57" s="2" t="s">
        <v>115</v>
      </c>
      <c r="E57" s="2" t="s">
        <v>70</v>
      </c>
      <c r="F57" s="2" t="s">
        <v>44</v>
      </c>
      <c r="G57" s="2" t="s">
        <v>76</v>
      </c>
      <c r="H57" s="2" t="s">
        <v>203</v>
      </c>
      <c r="I57" s="2" t="s">
        <v>100</v>
      </c>
      <c r="J57" s="2">
        <v>1</v>
      </c>
      <c r="K57" s="3">
        <v>4.0999999999999996</v>
      </c>
      <c r="L57" s="3">
        <v>4.0999999999999996</v>
      </c>
      <c r="M57" s="4">
        <v>0</v>
      </c>
      <c r="N57" s="3">
        <v>0</v>
      </c>
      <c r="O57" s="3">
        <v>4.0999999999999996</v>
      </c>
      <c r="P57" s="3">
        <v>1.47</v>
      </c>
      <c r="Q57" s="3">
        <v>2.63</v>
      </c>
      <c r="R57" s="2" t="s">
        <v>28</v>
      </c>
      <c r="S57" s="2" t="s">
        <v>66</v>
      </c>
      <c r="T57" s="2" t="s">
        <v>30</v>
      </c>
      <c r="U57" s="2">
        <v>3</v>
      </c>
    </row>
    <row r="58" spans="1:21" x14ac:dyDescent="0.25">
      <c r="A58" s="2" t="s">
        <v>204</v>
      </c>
      <c r="B58" s="2" t="s">
        <v>205</v>
      </c>
      <c r="C58" s="2" t="str">
        <f>TEXT(TransactionsTable500[[#This Row],[Order Date]],"mmm")</f>
        <v>Mar</v>
      </c>
      <c r="D58" s="2" t="s">
        <v>55</v>
      </c>
      <c r="E58" s="2" t="s">
        <v>43</v>
      </c>
      <c r="F58" s="2" t="s">
        <v>44</v>
      </c>
      <c r="G58" s="2" t="s">
        <v>56</v>
      </c>
      <c r="H58" s="2" t="s">
        <v>86</v>
      </c>
      <c r="I58" s="2" t="s">
        <v>27</v>
      </c>
      <c r="J58" s="2">
        <v>1</v>
      </c>
      <c r="K58" s="3">
        <v>4.82</v>
      </c>
      <c r="L58" s="3">
        <v>4.82</v>
      </c>
      <c r="M58" s="4">
        <v>0</v>
      </c>
      <c r="N58" s="3">
        <v>0</v>
      </c>
      <c r="O58" s="3">
        <v>4.82</v>
      </c>
      <c r="P58" s="3">
        <v>1.81</v>
      </c>
      <c r="Q58" s="3">
        <v>3.01</v>
      </c>
      <c r="R58" s="2" t="s">
        <v>28</v>
      </c>
      <c r="S58" s="2" t="s">
        <v>29</v>
      </c>
      <c r="T58" s="2" t="s">
        <v>30</v>
      </c>
      <c r="U58" s="2">
        <v>3</v>
      </c>
    </row>
    <row r="59" spans="1:21" x14ac:dyDescent="0.25">
      <c r="A59" s="2" t="s">
        <v>206</v>
      </c>
      <c r="B59" s="2" t="s">
        <v>207</v>
      </c>
      <c r="C59" s="2" t="str">
        <f>TEXT(TransactionsTable500[[#This Row],[Order Date]],"mmm")</f>
        <v>Mar</v>
      </c>
      <c r="D59" s="2" t="s">
        <v>127</v>
      </c>
      <c r="E59" s="2" t="s">
        <v>23</v>
      </c>
      <c r="F59" s="2" t="s">
        <v>24</v>
      </c>
      <c r="G59" s="2" t="s">
        <v>25</v>
      </c>
      <c r="H59" s="2" t="s">
        <v>64</v>
      </c>
      <c r="I59" s="2" t="s">
        <v>65</v>
      </c>
      <c r="J59" s="2">
        <v>2</v>
      </c>
      <c r="K59" s="3">
        <v>2.54</v>
      </c>
      <c r="L59" s="3">
        <v>5.08</v>
      </c>
      <c r="M59" s="4">
        <v>0.1</v>
      </c>
      <c r="N59" s="3">
        <v>0.51</v>
      </c>
      <c r="O59" s="3">
        <v>4.57</v>
      </c>
      <c r="P59" s="3">
        <v>1.75</v>
      </c>
      <c r="Q59" s="3">
        <v>2.82</v>
      </c>
      <c r="R59" s="2" t="s">
        <v>48</v>
      </c>
      <c r="S59" s="2" t="s">
        <v>29</v>
      </c>
      <c r="T59" s="2" t="s">
        <v>37</v>
      </c>
      <c r="U59" s="2">
        <v>4</v>
      </c>
    </row>
    <row r="60" spans="1:21" x14ac:dyDescent="0.25">
      <c r="A60" s="2" t="s">
        <v>208</v>
      </c>
      <c r="B60" s="2" t="s">
        <v>207</v>
      </c>
      <c r="C60" s="2" t="str">
        <f>TEXT(TransactionsTable500[[#This Row],[Order Date]],"mmm")</f>
        <v>Mar</v>
      </c>
      <c r="D60" s="2" t="s">
        <v>80</v>
      </c>
      <c r="E60" s="2" t="s">
        <v>23</v>
      </c>
      <c r="F60" s="2" t="s">
        <v>24</v>
      </c>
      <c r="G60" s="2" t="s">
        <v>81</v>
      </c>
      <c r="H60" s="2" t="s">
        <v>86</v>
      </c>
      <c r="I60" s="2" t="s">
        <v>27</v>
      </c>
      <c r="J60" s="2">
        <v>3</v>
      </c>
      <c r="K60" s="3">
        <v>4.4800000000000004</v>
      </c>
      <c r="L60" s="3">
        <v>13.44</v>
      </c>
      <c r="M60" s="4">
        <v>0.15</v>
      </c>
      <c r="N60" s="3">
        <v>2.02</v>
      </c>
      <c r="O60" s="3">
        <v>11.42</v>
      </c>
      <c r="P60" s="3">
        <v>4.0999999999999996</v>
      </c>
      <c r="Q60" s="3">
        <v>7.32</v>
      </c>
      <c r="R60" s="2" t="s">
        <v>48</v>
      </c>
      <c r="S60" s="2" t="s">
        <v>29</v>
      </c>
      <c r="T60" s="2" t="s">
        <v>30</v>
      </c>
      <c r="U60" s="2">
        <v>4</v>
      </c>
    </row>
    <row r="61" spans="1:21" x14ac:dyDescent="0.25">
      <c r="A61" s="2" t="s">
        <v>209</v>
      </c>
      <c r="B61" s="2" t="s">
        <v>210</v>
      </c>
      <c r="C61" s="2" t="str">
        <f>TEXT(TransactionsTable500[[#This Row],[Order Date]],"mmm")</f>
        <v>Mar</v>
      </c>
      <c r="D61" s="2" t="s">
        <v>40</v>
      </c>
      <c r="E61" s="2" t="s">
        <v>33</v>
      </c>
      <c r="F61" s="2" t="s">
        <v>34</v>
      </c>
      <c r="G61" s="2" t="s">
        <v>35</v>
      </c>
      <c r="H61" s="2" t="s">
        <v>203</v>
      </c>
      <c r="I61" s="2" t="s">
        <v>100</v>
      </c>
      <c r="J61" s="2">
        <v>1</v>
      </c>
      <c r="K61" s="3">
        <v>4.3499999999999996</v>
      </c>
      <c r="L61" s="3">
        <v>4.3499999999999996</v>
      </c>
      <c r="M61" s="4">
        <v>0</v>
      </c>
      <c r="N61" s="3">
        <v>0</v>
      </c>
      <c r="O61" s="3">
        <v>4.3499999999999996</v>
      </c>
      <c r="P61" s="3">
        <v>1.43</v>
      </c>
      <c r="Q61" s="3">
        <v>2.92</v>
      </c>
      <c r="R61" s="2" t="s">
        <v>28</v>
      </c>
      <c r="S61" s="2" t="s">
        <v>29</v>
      </c>
      <c r="T61" s="2" t="s">
        <v>30</v>
      </c>
      <c r="U61" s="2">
        <v>5</v>
      </c>
    </row>
    <row r="62" spans="1:21" x14ac:dyDescent="0.25">
      <c r="A62" s="2" t="s">
        <v>211</v>
      </c>
      <c r="B62" s="2" t="s">
        <v>210</v>
      </c>
      <c r="C62" s="2" t="str">
        <f>TEXT(TransactionsTable500[[#This Row],[Order Date]],"mmm")</f>
        <v>Mar</v>
      </c>
      <c r="D62" s="2" t="s">
        <v>212</v>
      </c>
      <c r="E62" s="2" t="s">
        <v>184</v>
      </c>
      <c r="F62" s="2" t="s">
        <v>62</v>
      </c>
      <c r="G62" s="2" t="s">
        <v>213</v>
      </c>
      <c r="H62" s="2" t="s">
        <v>93</v>
      </c>
      <c r="I62" s="2" t="s">
        <v>65</v>
      </c>
      <c r="J62" s="2">
        <v>1</v>
      </c>
      <c r="K62" s="3">
        <v>3.59</v>
      </c>
      <c r="L62" s="3">
        <v>3.59</v>
      </c>
      <c r="M62" s="4">
        <v>0</v>
      </c>
      <c r="N62" s="3">
        <v>0</v>
      </c>
      <c r="O62" s="3">
        <v>3.59</v>
      </c>
      <c r="P62" s="3">
        <v>1.45</v>
      </c>
      <c r="Q62" s="3">
        <v>2.14</v>
      </c>
      <c r="R62" s="2" t="s">
        <v>28</v>
      </c>
      <c r="S62" s="2" t="s">
        <v>29</v>
      </c>
      <c r="T62" s="2" t="s">
        <v>37</v>
      </c>
      <c r="U62" s="2">
        <v>4</v>
      </c>
    </row>
    <row r="63" spans="1:21" x14ac:dyDescent="0.25">
      <c r="A63" s="2" t="s">
        <v>214</v>
      </c>
      <c r="B63" s="2" t="s">
        <v>215</v>
      </c>
      <c r="C63" s="2" t="str">
        <f>TEXT(TransactionsTable500[[#This Row],[Order Date]],"mmm")</f>
        <v>Mar</v>
      </c>
      <c r="D63" s="2" t="s">
        <v>216</v>
      </c>
      <c r="E63" s="2" t="s">
        <v>61</v>
      </c>
      <c r="F63" s="2" t="s">
        <v>62</v>
      </c>
      <c r="G63" s="2" t="s">
        <v>217</v>
      </c>
      <c r="H63" s="2" t="s">
        <v>93</v>
      </c>
      <c r="I63" s="2" t="s">
        <v>65</v>
      </c>
      <c r="J63" s="2">
        <v>1</v>
      </c>
      <c r="K63" s="3">
        <v>3.56</v>
      </c>
      <c r="L63" s="3">
        <v>3.56</v>
      </c>
      <c r="M63" s="4">
        <v>0.05</v>
      </c>
      <c r="N63" s="3">
        <v>0.18</v>
      </c>
      <c r="O63" s="3">
        <v>3.38</v>
      </c>
      <c r="P63" s="3">
        <v>1.27</v>
      </c>
      <c r="Q63" s="3">
        <v>2.11</v>
      </c>
      <c r="R63" s="2" t="s">
        <v>28</v>
      </c>
      <c r="S63" s="2" t="s">
        <v>87</v>
      </c>
      <c r="T63" s="2" t="s">
        <v>90</v>
      </c>
      <c r="U63" s="2">
        <v>5</v>
      </c>
    </row>
    <row r="64" spans="1:21" x14ac:dyDescent="0.25">
      <c r="A64" s="2" t="s">
        <v>218</v>
      </c>
      <c r="B64" s="2" t="s">
        <v>215</v>
      </c>
      <c r="C64" s="2" t="str">
        <f>TEXT(TransactionsTable500[[#This Row],[Order Date]],"mmm")</f>
        <v>Mar</v>
      </c>
      <c r="D64" s="2" t="s">
        <v>109</v>
      </c>
      <c r="E64" s="2" t="s">
        <v>33</v>
      </c>
      <c r="F64" s="2" t="s">
        <v>34</v>
      </c>
      <c r="G64" s="2" t="s">
        <v>110</v>
      </c>
      <c r="H64" s="2" t="s">
        <v>140</v>
      </c>
      <c r="I64" s="2" t="s">
        <v>58</v>
      </c>
      <c r="J64" s="2">
        <v>4</v>
      </c>
      <c r="K64" s="3">
        <v>12.75</v>
      </c>
      <c r="L64" s="3">
        <v>51</v>
      </c>
      <c r="M64" s="4">
        <v>0</v>
      </c>
      <c r="N64" s="3">
        <v>0</v>
      </c>
      <c r="O64" s="3">
        <v>51</v>
      </c>
      <c r="P64" s="3">
        <v>17.260000000000002</v>
      </c>
      <c r="Q64" s="3">
        <v>33.74</v>
      </c>
      <c r="R64" s="2" t="s">
        <v>28</v>
      </c>
      <c r="S64" s="2" t="s">
        <v>36</v>
      </c>
      <c r="T64" s="2" t="s">
        <v>30</v>
      </c>
      <c r="U64" s="2">
        <v>5</v>
      </c>
    </row>
    <row r="65" spans="1:21" x14ac:dyDescent="0.25">
      <c r="A65" s="2" t="s">
        <v>219</v>
      </c>
      <c r="B65" s="2" t="s">
        <v>220</v>
      </c>
      <c r="C65" s="2" t="str">
        <f>TEXT(TransactionsTable500[[#This Row],[Order Date]],"mmm")</f>
        <v>Mar</v>
      </c>
      <c r="D65" s="2" t="s">
        <v>221</v>
      </c>
      <c r="E65" s="2" t="s">
        <v>61</v>
      </c>
      <c r="F65" s="2" t="s">
        <v>62</v>
      </c>
      <c r="G65" s="2" t="s">
        <v>63</v>
      </c>
      <c r="H65" s="2" t="s">
        <v>46</v>
      </c>
      <c r="I65" s="2" t="s">
        <v>47</v>
      </c>
      <c r="J65" s="2">
        <v>4</v>
      </c>
      <c r="K65" s="3">
        <v>7.89</v>
      </c>
      <c r="L65" s="3">
        <v>31.56</v>
      </c>
      <c r="M65" s="4">
        <v>0.05</v>
      </c>
      <c r="N65" s="3">
        <v>1.58</v>
      </c>
      <c r="O65" s="3">
        <v>29.98</v>
      </c>
      <c r="P65" s="3">
        <v>10.42</v>
      </c>
      <c r="Q65" s="3">
        <v>19.559999999999999</v>
      </c>
      <c r="R65" s="2" t="s">
        <v>48</v>
      </c>
      <c r="S65" s="2" t="s">
        <v>29</v>
      </c>
      <c r="T65" s="2" t="s">
        <v>30</v>
      </c>
      <c r="U65" s="2">
        <v>3</v>
      </c>
    </row>
    <row r="66" spans="1:21" x14ac:dyDescent="0.25">
      <c r="A66" s="2" t="s">
        <v>222</v>
      </c>
      <c r="B66" s="2" t="s">
        <v>223</v>
      </c>
      <c r="C66" s="2" t="str">
        <f>TEXT(TransactionsTable500[[#This Row],[Order Date]],"mmm")</f>
        <v>Mar</v>
      </c>
      <c r="D66" s="2" t="s">
        <v>109</v>
      </c>
      <c r="E66" s="2" t="s">
        <v>33</v>
      </c>
      <c r="F66" s="2" t="s">
        <v>34</v>
      </c>
      <c r="G66" s="2" t="s">
        <v>110</v>
      </c>
      <c r="H66" s="2" t="s">
        <v>77</v>
      </c>
      <c r="I66" s="2" t="s">
        <v>47</v>
      </c>
      <c r="J66" s="2">
        <v>1</v>
      </c>
      <c r="K66" s="3">
        <v>6.47</v>
      </c>
      <c r="L66" s="3">
        <v>6.47</v>
      </c>
      <c r="M66" s="4">
        <v>0</v>
      </c>
      <c r="N66" s="3">
        <v>0</v>
      </c>
      <c r="O66" s="3">
        <v>6.47</v>
      </c>
      <c r="P66" s="3">
        <v>2.11</v>
      </c>
      <c r="Q66" s="3">
        <v>4.3600000000000003</v>
      </c>
      <c r="R66" s="2" t="s">
        <v>28</v>
      </c>
      <c r="S66" s="2" t="s">
        <v>36</v>
      </c>
      <c r="T66" s="2" t="s">
        <v>30</v>
      </c>
      <c r="U66" s="2">
        <v>4</v>
      </c>
    </row>
    <row r="67" spans="1:21" x14ac:dyDescent="0.25">
      <c r="A67" s="2" t="s">
        <v>224</v>
      </c>
      <c r="B67" s="2" t="s">
        <v>225</v>
      </c>
      <c r="C67" s="2" t="str">
        <f>TEXT(TransactionsTable500[[#This Row],[Order Date]],"mmm")</f>
        <v>Mar</v>
      </c>
      <c r="D67" s="2" t="s">
        <v>129</v>
      </c>
      <c r="E67" s="2" t="s">
        <v>61</v>
      </c>
      <c r="F67" s="2" t="s">
        <v>62</v>
      </c>
      <c r="G67" s="2" t="s">
        <v>130</v>
      </c>
      <c r="H67" s="2" t="s">
        <v>53</v>
      </c>
      <c r="I67" s="2" t="s">
        <v>27</v>
      </c>
      <c r="J67" s="2">
        <v>1</v>
      </c>
      <c r="K67" s="3">
        <v>3.95</v>
      </c>
      <c r="L67" s="3">
        <v>3.95</v>
      </c>
      <c r="M67" s="4">
        <v>0.1</v>
      </c>
      <c r="N67" s="3">
        <v>0.4</v>
      </c>
      <c r="O67" s="3">
        <v>3.55</v>
      </c>
      <c r="P67" s="3">
        <v>1.18</v>
      </c>
      <c r="Q67" s="3">
        <v>2.37</v>
      </c>
      <c r="R67" s="2" t="s">
        <v>48</v>
      </c>
      <c r="S67" s="2" t="s">
        <v>87</v>
      </c>
      <c r="T67" s="2" t="s">
        <v>37</v>
      </c>
      <c r="U67" s="2">
        <v>5</v>
      </c>
    </row>
    <row r="68" spans="1:21" x14ac:dyDescent="0.25">
      <c r="A68" s="2" t="s">
        <v>226</v>
      </c>
      <c r="B68" s="2" t="s">
        <v>225</v>
      </c>
      <c r="C68" s="2" t="str">
        <f>TEXT(TransactionsTable500[[#This Row],[Order Date]],"mmm")</f>
        <v>Mar</v>
      </c>
      <c r="D68" s="2" t="s">
        <v>133</v>
      </c>
      <c r="E68" s="2" t="s">
        <v>119</v>
      </c>
      <c r="F68" s="2" t="s">
        <v>24</v>
      </c>
      <c r="G68" s="2" t="s">
        <v>134</v>
      </c>
      <c r="H68" s="2" t="s">
        <v>140</v>
      </c>
      <c r="I68" s="2" t="s">
        <v>58</v>
      </c>
      <c r="J68" s="2">
        <v>1</v>
      </c>
      <c r="K68" s="3">
        <v>12.89</v>
      </c>
      <c r="L68" s="3">
        <v>12.89</v>
      </c>
      <c r="M68" s="4">
        <v>0</v>
      </c>
      <c r="N68" s="3">
        <v>0</v>
      </c>
      <c r="O68" s="3">
        <v>12.89</v>
      </c>
      <c r="P68" s="3">
        <v>4.93</v>
      </c>
      <c r="Q68" s="3">
        <v>7.96</v>
      </c>
      <c r="R68" s="2" t="s">
        <v>48</v>
      </c>
      <c r="S68" s="2" t="s">
        <v>29</v>
      </c>
      <c r="T68" s="2" t="s">
        <v>30</v>
      </c>
      <c r="U68" s="2">
        <v>3</v>
      </c>
    </row>
    <row r="69" spans="1:21" x14ac:dyDescent="0.25">
      <c r="A69" s="2" t="s">
        <v>227</v>
      </c>
      <c r="B69" s="2" t="s">
        <v>225</v>
      </c>
      <c r="C69" s="2" t="str">
        <f>TEXT(TransactionsTable500[[#This Row],[Order Date]],"mmm")</f>
        <v>Mar</v>
      </c>
      <c r="D69" s="2" t="s">
        <v>216</v>
      </c>
      <c r="E69" s="2" t="s">
        <v>61</v>
      </c>
      <c r="F69" s="2" t="s">
        <v>62</v>
      </c>
      <c r="G69" s="2" t="s">
        <v>217</v>
      </c>
      <c r="H69" s="2" t="s">
        <v>228</v>
      </c>
      <c r="I69" s="2" t="s">
        <v>65</v>
      </c>
      <c r="J69" s="2">
        <v>1</v>
      </c>
      <c r="K69" s="3">
        <v>3.39</v>
      </c>
      <c r="L69" s="3">
        <v>3.39</v>
      </c>
      <c r="M69" s="4">
        <v>0</v>
      </c>
      <c r="N69" s="3">
        <v>0</v>
      </c>
      <c r="O69" s="3">
        <v>3.39</v>
      </c>
      <c r="P69" s="3">
        <v>1.42</v>
      </c>
      <c r="Q69" s="3">
        <v>1.97</v>
      </c>
      <c r="R69" s="2" t="s">
        <v>48</v>
      </c>
      <c r="S69" s="2" t="s">
        <v>29</v>
      </c>
      <c r="T69" s="2" t="s">
        <v>30</v>
      </c>
      <c r="U69" s="2">
        <v>3</v>
      </c>
    </row>
    <row r="70" spans="1:21" x14ac:dyDescent="0.25">
      <c r="A70" s="2" t="s">
        <v>229</v>
      </c>
      <c r="B70" s="2" t="s">
        <v>230</v>
      </c>
      <c r="C70" s="2" t="str">
        <f>TEXT(TransactionsTable500[[#This Row],[Order Date]],"mmm")</f>
        <v>Mar</v>
      </c>
      <c r="D70" s="2" t="s">
        <v>216</v>
      </c>
      <c r="E70" s="2" t="s">
        <v>61</v>
      </c>
      <c r="F70" s="2" t="s">
        <v>62</v>
      </c>
      <c r="G70" s="2" t="s">
        <v>217</v>
      </c>
      <c r="H70" s="2" t="s">
        <v>231</v>
      </c>
      <c r="I70" s="2" t="s">
        <v>100</v>
      </c>
      <c r="J70" s="2">
        <v>2</v>
      </c>
      <c r="K70" s="3">
        <v>4.71</v>
      </c>
      <c r="L70" s="3">
        <v>9.42</v>
      </c>
      <c r="M70" s="4">
        <v>0</v>
      </c>
      <c r="N70" s="3">
        <v>0</v>
      </c>
      <c r="O70" s="3">
        <v>9.42</v>
      </c>
      <c r="P70" s="3">
        <v>3.33</v>
      </c>
      <c r="Q70" s="3">
        <v>6.09</v>
      </c>
      <c r="R70" s="2" t="s">
        <v>28</v>
      </c>
      <c r="S70" s="2" t="s">
        <v>36</v>
      </c>
      <c r="T70" s="2" t="s">
        <v>30</v>
      </c>
      <c r="U70" s="2">
        <v>1</v>
      </c>
    </row>
    <row r="71" spans="1:21" x14ac:dyDescent="0.25">
      <c r="A71" s="2" t="s">
        <v>232</v>
      </c>
      <c r="B71" s="2" t="s">
        <v>230</v>
      </c>
      <c r="C71" s="2" t="str">
        <f>TEXT(TransactionsTable500[[#This Row],[Order Date]],"mmm")</f>
        <v>Mar</v>
      </c>
      <c r="D71" s="2" t="s">
        <v>40</v>
      </c>
      <c r="E71" s="2" t="s">
        <v>33</v>
      </c>
      <c r="F71" s="2" t="s">
        <v>34</v>
      </c>
      <c r="G71" s="2" t="s">
        <v>35</v>
      </c>
      <c r="H71" s="2" t="s">
        <v>46</v>
      </c>
      <c r="I71" s="2" t="s">
        <v>47</v>
      </c>
      <c r="J71" s="2">
        <v>1</v>
      </c>
      <c r="K71" s="3">
        <v>7.95</v>
      </c>
      <c r="L71" s="3">
        <v>7.95</v>
      </c>
      <c r="M71" s="4">
        <v>0</v>
      </c>
      <c r="N71" s="3">
        <v>0</v>
      </c>
      <c r="O71" s="3">
        <v>7.95</v>
      </c>
      <c r="P71" s="3">
        <v>2.63</v>
      </c>
      <c r="Q71" s="3">
        <v>5.32</v>
      </c>
      <c r="R71" s="2" t="s">
        <v>48</v>
      </c>
      <c r="S71" s="2" t="s">
        <v>36</v>
      </c>
      <c r="T71" s="2" t="s">
        <v>37</v>
      </c>
      <c r="U71" s="2">
        <v>4</v>
      </c>
    </row>
    <row r="72" spans="1:21" x14ac:dyDescent="0.25">
      <c r="A72" s="2" t="s">
        <v>233</v>
      </c>
      <c r="B72" s="2" t="s">
        <v>230</v>
      </c>
      <c r="C72" s="2" t="str">
        <f>TEXT(TransactionsTable500[[#This Row],[Order Date]],"mmm")</f>
        <v>Mar</v>
      </c>
      <c r="D72" s="2" t="s">
        <v>155</v>
      </c>
      <c r="E72" s="2" t="s">
        <v>61</v>
      </c>
      <c r="F72" s="2" t="s">
        <v>62</v>
      </c>
      <c r="G72" s="2" t="s">
        <v>156</v>
      </c>
      <c r="H72" s="2" t="s">
        <v>157</v>
      </c>
      <c r="I72" s="2" t="s">
        <v>47</v>
      </c>
      <c r="J72" s="2">
        <v>1</v>
      </c>
      <c r="K72" s="3">
        <v>7.71</v>
      </c>
      <c r="L72" s="3">
        <v>7.71</v>
      </c>
      <c r="M72" s="4">
        <v>0</v>
      </c>
      <c r="N72" s="3">
        <v>0</v>
      </c>
      <c r="O72" s="3">
        <v>7.71</v>
      </c>
      <c r="P72" s="3">
        <v>2.5</v>
      </c>
      <c r="Q72" s="3">
        <v>5.21</v>
      </c>
      <c r="R72" s="2" t="s">
        <v>48</v>
      </c>
      <c r="S72" s="2" t="s">
        <v>29</v>
      </c>
      <c r="T72" s="2" t="s">
        <v>37</v>
      </c>
      <c r="U72" s="2">
        <v>3</v>
      </c>
    </row>
    <row r="73" spans="1:21" x14ac:dyDescent="0.25">
      <c r="A73" s="2" t="s">
        <v>234</v>
      </c>
      <c r="B73" s="2" t="s">
        <v>230</v>
      </c>
      <c r="C73" s="2" t="str">
        <f>TEXT(TransactionsTable500[[#This Row],[Order Date]],"mmm")</f>
        <v>Mar</v>
      </c>
      <c r="D73" s="2" t="s">
        <v>60</v>
      </c>
      <c r="E73" s="2" t="s">
        <v>61</v>
      </c>
      <c r="F73" s="2" t="s">
        <v>62</v>
      </c>
      <c r="G73" s="2" t="s">
        <v>63</v>
      </c>
      <c r="H73" s="2" t="s">
        <v>46</v>
      </c>
      <c r="I73" s="2" t="s">
        <v>47</v>
      </c>
      <c r="J73" s="2">
        <v>2</v>
      </c>
      <c r="K73" s="3">
        <v>7.94</v>
      </c>
      <c r="L73" s="3">
        <v>15.88</v>
      </c>
      <c r="M73" s="4">
        <v>0</v>
      </c>
      <c r="N73" s="3">
        <v>0</v>
      </c>
      <c r="O73" s="3">
        <v>15.88</v>
      </c>
      <c r="P73" s="3">
        <v>5.94</v>
      </c>
      <c r="Q73" s="3">
        <v>9.94</v>
      </c>
      <c r="R73" s="2" t="s">
        <v>48</v>
      </c>
      <c r="S73" s="2" t="s">
        <v>36</v>
      </c>
      <c r="T73" s="2" t="s">
        <v>30</v>
      </c>
      <c r="U73" s="2">
        <v>5</v>
      </c>
    </row>
    <row r="74" spans="1:21" x14ac:dyDescent="0.25">
      <c r="A74" s="2" t="s">
        <v>235</v>
      </c>
      <c r="B74" s="2" t="s">
        <v>236</v>
      </c>
      <c r="C74" s="2" t="str">
        <f>TEXT(TransactionsTable500[[#This Row],[Order Date]],"mmm")</f>
        <v>Mar</v>
      </c>
      <c r="D74" s="2" t="s">
        <v>133</v>
      </c>
      <c r="E74" s="2" t="s">
        <v>119</v>
      </c>
      <c r="F74" s="2" t="s">
        <v>24</v>
      </c>
      <c r="G74" s="2" t="s">
        <v>134</v>
      </c>
      <c r="H74" s="2" t="s">
        <v>140</v>
      </c>
      <c r="I74" s="2" t="s">
        <v>58</v>
      </c>
      <c r="J74" s="2">
        <v>1</v>
      </c>
      <c r="K74" s="3">
        <v>12.41</v>
      </c>
      <c r="L74" s="3">
        <v>12.41</v>
      </c>
      <c r="M74" s="4">
        <v>0</v>
      </c>
      <c r="N74" s="3">
        <v>0</v>
      </c>
      <c r="O74" s="3">
        <v>12.41</v>
      </c>
      <c r="P74" s="3">
        <v>4.74</v>
      </c>
      <c r="Q74" s="3">
        <v>7.67</v>
      </c>
      <c r="R74" s="2" t="s">
        <v>28</v>
      </c>
      <c r="S74" s="2" t="s">
        <v>66</v>
      </c>
      <c r="T74" s="2" t="s">
        <v>37</v>
      </c>
      <c r="U74" s="2">
        <v>4</v>
      </c>
    </row>
    <row r="75" spans="1:21" x14ac:dyDescent="0.25">
      <c r="A75" s="2" t="s">
        <v>237</v>
      </c>
      <c r="B75" s="2" t="s">
        <v>238</v>
      </c>
      <c r="C75" s="2" t="str">
        <f>TEXT(TransactionsTable500[[#This Row],[Order Date]],"mmm")</f>
        <v>Mar</v>
      </c>
      <c r="D75" s="2" t="s">
        <v>177</v>
      </c>
      <c r="E75" s="2" t="s">
        <v>43</v>
      </c>
      <c r="F75" s="2" t="s">
        <v>44</v>
      </c>
      <c r="G75" s="2" t="s">
        <v>45</v>
      </c>
      <c r="H75" s="2" t="s">
        <v>77</v>
      </c>
      <c r="I75" s="2" t="s">
        <v>47</v>
      </c>
      <c r="J75" s="2">
        <v>2</v>
      </c>
      <c r="K75" s="3">
        <v>6.2</v>
      </c>
      <c r="L75" s="3">
        <v>12.4</v>
      </c>
      <c r="M75" s="4">
        <v>0.15</v>
      </c>
      <c r="N75" s="3">
        <v>1.86</v>
      </c>
      <c r="O75" s="3">
        <v>10.54</v>
      </c>
      <c r="P75" s="3">
        <v>4.0999999999999996</v>
      </c>
      <c r="Q75" s="3">
        <v>6.44</v>
      </c>
      <c r="R75" s="2" t="s">
        <v>28</v>
      </c>
      <c r="S75" s="2" t="s">
        <v>66</v>
      </c>
      <c r="T75" s="2" t="s">
        <v>30</v>
      </c>
      <c r="U75" s="2">
        <v>4</v>
      </c>
    </row>
    <row r="76" spans="1:21" x14ac:dyDescent="0.25">
      <c r="A76" s="2" t="s">
        <v>239</v>
      </c>
      <c r="B76" s="2" t="s">
        <v>240</v>
      </c>
      <c r="C76" s="2" t="str">
        <f>TEXT(TransactionsTable500[[#This Row],[Order Date]],"mmm")</f>
        <v>Mar</v>
      </c>
      <c r="D76" s="2" t="s">
        <v>60</v>
      </c>
      <c r="E76" s="2" t="s">
        <v>61</v>
      </c>
      <c r="F76" s="2" t="s">
        <v>62</v>
      </c>
      <c r="G76" s="2" t="s">
        <v>63</v>
      </c>
      <c r="H76" s="2" t="s">
        <v>53</v>
      </c>
      <c r="I76" s="2" t="s">
        <v>27</v>
      </c>
      <c r="J76" s="2">
        <v>1</v>
      </c>
      <c r="K76" s="3">
        <v>3.72</v>
      </c>
      <c r="L76" s="3">
        <v>3.72</v>
      </c>
      <c r="M76" s="4">
        <v>0.1</v>
      </c>
      <c r="N76" s="3">
        <v>0.37</v>
      </c>
      <c r="O76" s="3">
        <v>3.35</v>
      </c>
      <c r="P76" s="3">
        <v>1.1000000000000001</v>
      </c>
      <c r="Q76" s="3">
        <v>2.25</v>
      </c>
      <c r="R76" s="2" t="s">
        <v>28</v>
      </c>
      <c r="S76" s="2" t="s">
        <v>29</v>
      </c>
      <c r="T76" s="2" t="s">
        <v>30</v>
      </c>
      <c r="U76" s="2">
        <v>5</v>
      </c>
    </row>
    <row r="77" spans="1:21" x14ac:dyDescent="0.25">
      <c r="A77" s="2" t="s">
        <v>241</v>
      </c>
      <c r="B77" s="2" t="s">
        <v>242</v>
      </c>
      <c r="C77" s="2" t="str">
        <f>TEXT(TransactionsTable500[[#This Row],[Order Date]],"mmm")</f>
        <v>Mar</v>
      </c>
      <c r="D77" s="2" t="s">
        <v>69</v>
      </c>
      <c r="E77" s="2" t="s">
        <v>70</v>
      </c>
      <c r="F77" s="2" t="s">
        <v>44</v>
      </c>
      <c r="G77" s="2" t="s">
        <v>71</v>
      </c>
      <c r="H77" s="2" t="s">
        <v>64</v>
      </c>
      <c r="I77" s="2" t="s">
        <v>65</v>
      </c>
      <c r="J77" s="2">
        <v>3</v>
      </c>
      <c r="K77" s="3">
        <v>2.46</v>
      </c>
      <c r="L77" s="3">
        <v>7.38</v>
      </c>
      <c r="M77" s="4">
        <v>0</v>
      </c>
      <c r="N77" s="3">
        <v>0</v>
      </c>
      <c r="O77" s="3">
        <v>7.38</v>
      </c>
      <c r="P77" s="3">
        <v>2.65</v>
      </c>
      <c r="Q77" s="3">
        <v>4.7300000000000004</v>
      </c>
      <c r="R77" s="2" t="s">
        <v>48</v>
      </c>
      <c r="S77" s="2" t="s">
        <v>36</v>
      </c>
      <c r="T77" s="2" t="s">
        <v>37</v>
      </c>
      <c r="U77" s="2">
        <v>5</v>
      </c>
    </row>
    <row r="78" spans="1:21" x14ac:dyDescent="0.25">
      <c r="A78" s="2" t="s">
        <v>243</v>
      </c>
      <c r="B78" s="2" t="s">
        <v>242</v>
      </c>
      <c r="C78" s="2" t="str">
        <f>TEXT(TransactionsTable500[[#This Row],[Order Date]],"mmm")</f>
        <v>Mar</v>
      </c>
      <c r="D78" s="2" t="s">
        <v>51</v>
      </c>
      <c r="E78" s="2" t="s">
        <v>23</v>
      </c>
      <c r="F78" s="2" t="s">
        <v>24</v>
      </c>
      <c r="G78" s="2" t="s">
        <v>52</v>
      </c>
      <c r="H78" s="2" t="s">
        <v>122</v>
      </c>
      <c r="I78" s="2" t="s">
        <v>47</v>
      </c>
      <c r="J78" s="2">
        <v>1</v>
      </c>
      <c r="K78" s="3">
        <v>7.03</v>
      </c>
      <c r="L78" s="3">
        <v>7.03</v>
      </c>
      <c r="M78" s="4">
        <v>0</v>
      </c>
      <c r="N78" s="3">
        <v>0</v>
      </c>
      <c r="O78" s="3">
        <v>7.03</v>
      </c>
      <c r="P78" s="3">
        <v>2.81</v>
      </c>
      <c r="Q78" s="3">
        <v>4.22</v>
      </c>
      <c r="R78" s="2" t="s">
        <v>28</v>
      </c>
      <c r="S78" s="2" t="s">
        <v>29</v>
      </c>
      <c r="T78" s="2" t="s">
        <v>30</v>
      </c>
      <c r="U78" s="2">
        <v>5</v>
      </c>
    </row>
    <row r="79" spans="1:21" x14ac:dyDescent="0.25">
      <c r="A79" s="2" t="s">
        <v>244</v>
      </c>
      <c r="B79" s="2" t="s">
        <v>245</v>
      </c>
      <c r="C79" s="2" t="str">
        <f>TEXT(TransactionsTable500[[#This Row],[Order Date]],"mmm")</f>
        <v>Mar</v>
      </c>
      <c r="D79" s="2" t="s">
        <v>212</v>
      </c>
      <c r="E79" s="2" t="s">
        <v>184</v>
      </c>
      <c r="F79" s="2" t="s">
        <v>62</v>
      </c>
      <c r="G79" s="2" t="s">
        <v>213</v>
      </c>
      <c r="H79" s="2" t="s">
        <v>140</v>
      </c>
      <c r="I79" s="2" t="s">
        <v>58</v>
      </c>
      <c r="J79" s="2">
        <v>2</v>
      </c>
      <c r="K79" s="3">
        <v>12.86</v>
      </c>
      <c r="L79" s="3">
        <v>25.72</v>
      </c>
      <c r="M79" s="4">
        <v>0</v>
      </c>
      <c r="N79" s="3">
        <v>0</v>
      </c>
      <c r="O79" s="3">
        <v>25.72</v>
      </c>
      <c r="P79" s="3">
        <v>8.43</v>
      </c>
      <c r="Q79" s="3">
        <v>17.29</v>
      </c>
      <c r="R79" s="2" t="s">
        <v>28</v>
      </c>
      <c r="S79" s="2" t="s">
        <v>66</v>
      </c>
      <c r="T79" s="2" t="s">
        <v>30</v>
      </c>
      <c r="U79" s="2">
        <v>5</v>
      </c>
    </row>
    <row r="80" spans="1:21" x14ac:dyDescent="0.25">
      <c r="A80" s="2" t="s">
        <v>246</v>
      </c>
      <c r="B80" s="2" t="s">
        <v>247</v>
      </c>
      <c r="C80" s="2" t="str">
        <f>TEXT(TransactionsTable500[[#This Row],[Order Date]],"mmm")</f>
        <v>Mar</v>
      </c>
      <c r="D80" s="2" t="s">
        <v>51</v>
      </c>
      <c r="E80" s="2" t="s">
        <v>23</v>
      </c>
      <c r="F80" s="2" t="s">
        <v>24</v>
      </c>
      <c r="G80" s="2" t="s">
        <v>52</v>
      </c>
      <c r="H80" s="2" t="s">
        <v>228</v>
      </c>
      <c r="I80" s="2" t="s">
        <v>65</v>
      </c>
      <c r="J80" s="2">
        <v>2</v>
      </c>
      <c r="K80" s="3">
        <v>3.32</v>
      </c>
      <c r="L80" s="3">
        <v>6.64</v>
      </c>
      <c r="M80" s="4">
        <v>0</v>
      </c>
      <c r="N80" s="3">
        <v>0</v>
      </c>
      <c r="O80" s="3">
        <v>6.64</v>
      </c>
      <c r="P80" s="3">
        <v>2.34</v>
      </c>
      <c r="Q80" s="3">
        <v>4.3</v>
      </c>
      <c r="R80" s="2" t="s">
        <v>28</v>
      </c>
      <c r="S80" s="2" t="s">
        <v>36</v>
      </c>
      <c r="T80" s="2" t="s">
        <v>30</v>
      </c>
      <c r="U80" s="2">
        <v>5</v>
      </c>
    </row>
    <row r="81" spans="1:21" x14ac:dyDescent="0.25">
      <c r="A81" s="2" t="s">
        <v>248</v>
      </c>
      <c r="B81" s="2" t="s">
        <v>249</v>
      </c>
      <c r="C81" s="2" t="str">
        <f>TEXT(TransactionsTable500[[#This Row],[Order Date]],"mmm")</f>
        <v>Apr</v>
      </c>
      <c r="D81" s="2" t="s">
        <v>105</v>
      </c>
      <c r="E81" s="2" t="s">
        <v>61</v>
      </c>
      <c r="F81" s="2" t="s">
        <v>62</v>
      </c>
      <c r="G81" s="2" t="s">
        <v>85</v>
      </c>
      <c r="H81" s="2" t="s">
        <v>93</v>
      </c>
      <c r="I81" s="2" t="s">
        <v>65</v>
      </c>
      <c r="J81" s="2">
        <v>1</v>
      </c>
      <c r="K81" s="3">
        <v>3.55</v>
      </c>
      <c r="L81" s="3">
        <v>3.55</v>
      </c>
      <c r="M81" s="4">
        <v>0</v>
      </c>
      <c r="N81" s="3">
        <v>0</v>
      </c>
      <c r="O81" s="3">
        <v>3.55</v>
      </c>
      <c r="P81" s="3">
        <v>1.34</v>
      </c>
      <c r="Q81" s="3">
        <v>2.21</v>
      </c>
      <c r="R81" s="2" t="s">
        <v>48</v>
      </c>
      <c r="S81" s="2" t="s">
        <v>66</v>
      </c>
      <c r="T81" s="2" t="s">
        <v>90</v>
      </c>
      <c r="U81" s="2">
        <v>5</v>
      </c>
    </row>
    <row r="82" spans="1:21" x14ac:dyDescent="0.25">
      <c r="A82" s="2" t="s">
        <v>250</v>
      </c>
      <c r="B82" s="2" t="s">
        <v>249</v>
      </c>
      <c r="C82" s="2" t="str">
        <f>TEXT(TransactionsTable500[[#This Row],[Order Date]],"mmm")</f>
        <v>Apr</v>
      </c>
      <c r="D82" s="2" t="s">
        <v>139</v>
      </c>
      <c r="E82" s="2" t="s">
        <v>70</v>
      </c>
      <c r="F82" s="2" t="s">
        <v>44</v>
      </c>
      <c r="G82" s="2" t="s">
        <v>71</v>
      </c>
      <c r="H82" s="2" t="s">
        <v>99</v>
      </c>
      <c r="I82" s="2" t="s">
        <v>100</v>
      </c>
      <c r="J82" s="2">
        <v>1</v>
      </c>
      <c r="K82" s="3">
        <v>4.6100000000000003</v>
      </c>
      <c r="L82" s="3">
        <v>4.6100000000000003</v>
      </c>
      <c r="M82" s="4">
        <v>0</v>
      </c>
      <c r="N82" s="3">
        <v>0</v>
      </c>
      <c r="O82" s="3">
        <v>4.6100000000000003</v>
      </c>
      <c r="P82" s="3">
        <v>1.61</v>
      </c>
      <c r="Q82" s="3">
        <v>3</v>
      </c>
      <c r="R82" s="2" t="s">
        <v>48</v>
      </c>
      <c r="S82" s="2" t="s">
        <v>87</v>
      </c>
      <c r="T82" s="2" t="s">
        <v>30</v>
      </c>
      <c r="U82" s="2">
        <v>5</v>
      </c>
    </row>
    <row r="83" spans="1:21" x14ac:dyDescent="0.25">
      <c r="A83" s="2" t="s">
        <v>251</v>
      </c>
      <c r="B83" s="2" t="s">
        <v>252</v>
      </c>
      <c r="C83" s="2" t="str">
        <f>TEXT(TransactionsTable500[[#This Row],[Order Date]],"mmm")</f>
        <v>Apr</v>
      </c>
      <c r="D83" s="2" t="s">
        <v>32</v>
      </c>
      <c r="E83" s="2" t="s">
        <v>33</v>
      </c>
      <c r="F83" s="2" t="s">
        <v>34</v>
      </c>
      <c r="G83" s="2" t="s">
        <v>35</v>
      </c>
      <c r="H83" s="2" t="s">
        <v>203</v>
      </c>
      <c r="I83" s="2" t="s">
        <v>100</v>
      </c>
      <c r="J83" s="2">
        <v>2</v>
      </c>
      <c r="K83" s="3">
        <v>4.41</v>
      </c>
      <c r="L83" s="3">
        <v>8.82</v>
      </c>
      <c r="M83" s="4">
        <v>0</v>
      </c>
      <c r="N83" s="3">
        <v>0</v>
      </c>
      <c r="O83" s="3">
        <v>8.82</v>
      </c>
      <c r="P83" s="3">
        <v>3.64</v>
      </c>
      <c r="Q83" s="3">
        <v>5.18</v>
      </c>
      <c r="R83" s="2" t="s">
        <v>48</v>
      </c>
      <c r="S83" s="2" t="s">
        <v>87</v>
      </c>
      <c r="T83" s="2" t="s">
        <v>37</v>
      </c>
      <c r="U83" s="2">
        <v>5</v>
      </c>
    </row>
    <row r="84" spans="1:21" x14ac:dyDescent="0.25">
      <c r="A84" s="2" t="s">
        <v>253</v>
      </c>
      <c r="B84" s="2" t="s">
        <v>252</v>
      </c>
      <c r="C84" s="2" t="str">
        <f>TEXT(TransactionsTable500[[#This Row],[Order Date]],"mmm")</f>
        <v>Apr</v>
      </c>
      <c r="D84" s="2" t="s">
        <v>221</v>
      </c>
      <c r="E84" s="2" t="s">
        <v>61</v>
      </c>
      <c r="F84" s="2" t="s">
        <v>62</v>
      </c>
      <c r="G84" s="2" t="s">
        <v>63</v>
      </c>
      <c r="H84" s="2" t="s">
        <v>169</v>
      </c>
      <c r="I84" s="2" t="s">
        <v>65</v>
      </c>
      <c r="J84" s="2">
        <v>4</v>
      </c>
      <c r="K84" s="3">
        <v>3.27</v>
      </c>
      <c r="L84" s="3">
        <v>13.08</v>
      </c>
      <c r="M84" s="4">
        <v>0</v>
      </c>
      <c r="N84" s="3">
        <v>0</v>
      </c>
      <c r="O84" s="3">
        <v>13.08</v>
      </c>
      <c r="P84" s="3">
        <v>5.2</v>
      </c>
      <c r="Q84" s="3">
        <v>7.88</v>
      </c>
      <c r="R84" s="2" t="s">
        <v>48</v>
      </c>
      <c r="S84" s="2" t="s">
        <v>29</v>
      </c>
      <c r="T84" s="2" t="s">
        <v>30</v>
      </c>
      <c r="U84" s="2">
        <v>4</v>
      </c>
    </row>
    <row r="85" spans="1:21" x14ac:dyDescent="0.25">
      <c r="A85" s="2" t="s">
        <v>254</v>
      </c>
      <c r="B85" s="2" t="s">
        <v>255</v>
      </c>
      <c r="C85" s="2" t="str">
        <f>TEXT(TransactionsTable500[[#This Row],[Order Date]],"mmm")</f>
        <v>Apr</v>
      </c>
      <c r="D85" s="2" t="s">
        <v>51</v>
      </c>
      <c r="E85" s="2" t="s">
        <v>23</v>
      </c>
      <c r="F85" s="2" t="s">
        <v>24</v>
      </c>
      <c r="G85" s="2" t="s">
        <v>52</v>
      </c>
      <c r="H85" s="2" t="s">
        <v>140</v>
      </c>
      <c r="I85" s="2" t="s">
        <v>58</v>
      </c>
      <c r="J85" s="2">
        <v>3</v>
      </c>
      <c r="K85" s="3">
        <v>11.91</v>
      </c>
      <c r="L85" s="3">
        <v>35.729999999999997</v>
      </c>
      <c r="M85" s="4">
        <v>0.1</v>
      </c>
      <c r="N85" s="3">
        <v>3.57</v>
      </c>
      <c r="O85" s="3">
        <v>32.159999999999997</v>
      </c>
      <c r="P85" s="3">
        <v>11.2</v>
      </c>
      <c r="Q85" s="3">
        <v>20.96</v>
      </c>
      <c r="R85" s="2" t="s">
        <v>28</v>
      </c>
      <c r="S85" s="2" t="s">
        <v>29</v>
      </c>
      <c r="T85" s="2" t="s">
        <v>90</v>
      </c>
      <c r="U85" s="2">
        <v>5</v>
      </c>
    </row>
    <row r="86" spans="1:21" x14ac:dyDescent="0.25">
      <c r="A86" s="2" t="s">
        <v>256</v>
      </c>
      <c r="B86" s="2" t="s">
        <v>255</v>
      </c>
      <c r="C86" s="2" t="str">
        <f>TEXT(TransactionsTable500[[#This Row],[Order Date]],"mmm")</f>
        <v>Apr</v>
      </c>
      <c r="D86" s="2" t="s">
        <v>129</v>
      </c>
      <c r="E86" s="2" t="s">
        <v>61</v>
      </c>
      <c r="F86" s="2" t="s">
        <v>62</v>
      </c>
      <c r="G86" s="2" t="s">
        <v>130</v>
      </c>
      <c r="H86" s="2" t="s">
        <v>122</v>
      </c>
      <c r="I86" s="2" t="s">
        <v>47</v>
      </c>
      <c r="J86" s="2">
        <v>3</v>
      </c>
      <c r="K86" s="3">
        <v>7.14</v>
      </c>
      <c r="L86" s="3">
        <v>21.42</v>
      </c>
      <c r="M86" s="4">
        <v>0</v>
      </c>
      <c r="N86" s="3">
        <v>0</v>
      </c>
      <c r="O86" s="3">
        <v>21.42</v>
      </c>
      <c r="P86" s="3">
        <v>8.84</v>
      </c>
      <c r="Q86" s="3">
        <v>12.58</v>
      </c>
      <c r="R86" s="2" t="s">
        <v>28</v>
      </c>
      <c r="S86" s="2" t="s">
        <v>66</v>
      </c>
      <c r="T86" s="2" t="s">
        <v>90</v>
      </c>
      <c r="U86" s="2">
        <v>5</v>
      </c>
    </row>
    <row r="87" spans="1:21" x14ac:dyDescent="0.25">
      <c r="A87" s="2" t="s">
        <v>257</v>
      </c>
      <c r="B87" s="2" t="s">
        <v>258</v>
      </c>
      <c r="C87" s="2" t="str">
        <f>TEXT(TransactionsTable500[[#This Row],[Order Date]],"mmm")</f>
        <v>Apr</v>
      </c>
      <c r="D87" s="2" t="s">
        <v>177</v>
      </c>
      <c r="E87" s="2" t="s">
        <v>43</v>
      </c>
      <c r="F87" s="2" t="s">
        <v>44</v>
      </c>
      <c r="G87" s="2" t="s">
        <v>45</v>
      </c>
      <c r="H87" s="2" t="s">
        <v>46</v>
      </c>
      <c r="I87" s="2" t="s">
        <v>47</v>
      </c>
      <c r="J87" s="2">
        <v>3</v>
      </c>
      <c r="K87" s="3">
        <v>8.14</v>
      </c>
      <c r="L87" s="3">
        <v>24.42</v>
      </c>
      <c r="M87" s="4">
        <v>0</v>
      </c>
      <c r="N87" s="3">
        <v>0</v>
      </c>
      <c r="O87" s="3">
        <v>24.42</v>
      </c>
      <c r="P87" s="3">
        <v>10.02</v>
      </c>
      <c r="Q87" s="3">
        <v>14.4</v>
      </c>
      <c r="R87" s="2" t="s">
        <v>96</v>
      </c>
      <c r="S87" s="2" t="s">
        <v>29</v>
      </c>
      <c r="T87" s="2" t="s">
        <v>90</v>
      </c>
      <c r="U87" s="2">
        <v>5</v>
      </c>
    </row>
    <row r="88" spans="1:21" x14ac:dyDescent="0.25">
      <c r="A88" s="2" t="s">
        <v>259</v>
      </c>
      <c r="B88" s="2" t="s">
        <v>260</v>
      </c>
      <c r="C88" s="2" t="str">
        <f>TEXT(TransactionsTable500[[#This Row],[Order Date]],"mmm")</f>
        <v>Apr</v>
      </c>
      <c r="D88" s="2" t="s">
        <v>69</v>
      </c>
      <c r="E88" s="2" t="s">
        <v>70</v>
      </c>
      <c r="F88" s="2" t="s">
        <v>44</v>
      </c>
      <c r="G88" s="2" t="s">
        <v>71</v>
      </c>
      <c r="H88" s="2" t="s">
        <v>106</v>
      </c>
      <c r="I88" s="2" t="s">
        <v>100</v>
      </c>
      <c r="J88" s="2">
        <v>1</v>
      </c>
      <c r="K88" s="3">
        <v>3.39</v>
      </c>
      <c r="L88" s="3">
        <v>3.39</v>
      </c>
      <c r="M88" s="4">
        <v>0</v>
      </c>
      <c r="N88" s="3">
        <v>0</v>
      </c>
      <c r="O88" s="3">
        <v>3.39</v>
      </c>
      <c r="P88" s="3">
        <v>1.1100000000000001</v>
      </c>
      <c r="Q88" s="3">
        <v>2.2799999999999998</v>
      </c>
      <c r="R88" s="2" t="s">
        <v>48</v>
      </c>
      <c r="S88" s="2" t="s">
        <v>66</v>
      </c>
      <c r="T88" s="2" t="s">
        <v>30</v>
      </c>
      <c r="U88" s="2">
        <v>4</v>
      </c>
    </row>
    <row r="89" spans="1:21" x14ac:dyDescent="0.25">
      <c r="A89" s="2" t="s">
        <v>261</v>
      </c>
      <c r="B89" s="2" t="s">
        <v>260</v>
      </c>
      <c r="C89" s="2" t="str">
        <f>TEXT(TransactionsTable500[[#This Row],[Order Date]],"mmm")</f>
        <v>Apr</v>
      </c>
      <c r="D89" s="2" t="s">
        <v>143</v>
      </c>
      <c r="E89" s="2" t="s">
        <v>43</v>
      </c>
      <c r="F89" s="2" t="s">
        <v>44</v>
      </c>
      <c r="G89" s="2" t="s">
        <v>144</v>
      </c>
      <c r="H89" s="2" t="s">
        <v>99</v>
      </c>
      <c r="I89" s="2" t="s">
        <v>100</v>
      </c>
      <c r="J89" s="2">
        <v>2</v>
      </c>
      <c r="K89" s="3">
        <v>4.32</v>
      </c>
      <c r="L89" s="3">
        <v>8.64</v>
      </c>
      <c r="M89" s="4">
        <v>0</v>
      </c>
      <c r="N89" s="3">
        <v>0</v>
      </c>
      <c r="O89" s="3">
        <v>8.64</v>
      </c>
      <c r="P89" s="3">
        <v>3.23</v>
      </c>
      <c r="Q89" s="3">
        <v>5.41</v>
      </c>
      <c r="R89" s="2" t="s">
        <v>28</v>
      </c>
      <c r="S89" s="2" t="s">
        <v>29</v>
      </c>
      <c r="T89" s="2" t="s">
        <v>30</v>
      </c>
      <c r="U89" s="2">
        <v>4</v>
      </c>
    </row>
    <row r="90" spans="1:21" x14ac:dyDescent="0.25">
      <c r="A90" s="2" t="s">
        <v>262</v>
      </c>
      <c r="B90" s="2" t="s">
        <v>263</v>
      </c>
      <c r="C90" s="2" t="str">
        <f>TEXT(TransactionsTable500[[#This Row],[Order Date]],"mmm")</f>
        <v>Apr</v>
      </c>
      <c r="D90" s="2" t="s">
        <v>199</v>
      </c>
      <c r="E90" s="2" t="s">
        <v>70</v>
      </c>
      <c r="F90" s="2" t="s">
        <v>44</v>
      </c>
      <c r="G90" s="2" t="s">
        <v>200</v>
      </c>
      <c r="H90" s="2" t="s">
        <v>122</v>
      </c>
      <c r="I90" s="2" t="s">
        <v>47</v>
      </c>
      <c r="J90" s="2">
        <v>3</v>
      </c>
      <c r="K90" s="3">
        <v>6.66</v>
      </c>
      <c r="L90" s="3">
        <v>19.98</v>
      </c>
      <c r="M90" s="4">
        <v>0</v>
      </c>
      <c r="N90" s="3">
        <v>0</v>
      </c>
      <c r="O90" s="3">
        <v>19.98</v>
      </c>
      <c r="P90" s="3">
        <v>7.49</v>
      </c>
      <c r="Q90" s="3">
        <v>12.49</v>
      </c>
      <c r="R90" s="2" t="s">
        <v>48</v>
      </c>
      <c r="S90" s="2" t="s">
        <v>87</v>
      </c>
      <c r="T90" s="2" t="s">
        <v>30</v>
      </c>
      <c r="U90" s="2">
        <v>4</v>
      </c>
    </row>
    <row r="91" spans="1:21" x14ac:dyDescent="0.25">
      <c r="A91" s="2" t="s">
        <v>264</v>
      </c>
      <c r="B91" s="2" t="s">
        <v>265</v>
      </c>
      <c r="C91" s="2" t="str">
        <f>TEXT(TransactionsTable500[[#This Row],[Order Date]],"mmm")</f>
        <v>Apr</v>
      </c>
      <c r="D91" s="2" t="s">
        <v>221</v>
      </c>
      <c r="E91" s="2" t="s">
        <v>61</v>
      </c>
      <c r="F91" s="2" t="s">
        <v>62</v>
      </c>
      <c r="G91" s="2" t="s">
        <v>63</v>
      </c>
      <c r="H91" s="2" t="s">
        <v>26</v>
      </c>
      <c r="I91" s="2" t="s">
        <v>27</v>
      </c>
      <c r="J91" s="2">
        <v>1</v>
      </c>
      <c r="K91" s="3">
        <v>5.34</v>
      </c>
      <c r="L91" s="3">
        <v>5.34</v>
      </c>
      <c r="M91" s="4">
        <v>0</v>
      </c>
      <c r="N91" s="3">
        <v>0</v>
      </c>
      <c r="O91" s="3">
        <v>5.34</v>
      </c>
      <c r="P91" s="3">
        <v>2.0299999999999998</v>
      </c>
      <c r="Q91" s="3">
        <v>3.31</v>
      </c>
      <c r="R91" s="2" t="s">
        <v>48</v>
      </c>
      <c r="S91" s="2" t="s">
        <v>66</v>
      </c>
      <c r="T91" s="2" t="s">
        <v>90</v>
      </c>
      <c r="U91" s="2">
        <v>5</v>
      </c>
    </row>
    <row r="92" spans="1:21" x14ac:dyDescent="0.25">
      <c r="A92" s="2" t="s">
        <v>266</v>
      </c>
      <c r="B92" s="2" t="s">
        <v>267</v>
      </c>
      <c r="C92" s="2" t="str">
        <f>TEXT(TransactionsTable500[[#This Row],[Order Date]],"mmm")</f>
        <v>Apr</v>
      </c>
      <c r="D92" s="2" t="s">
        <v>183</v>
      </c>
      <c r="E92" s="2" t="s">
        <v>184</v>
      </c>
      <c r="F92" s="2" t="s">
        <v>62</v>
      </c>
      <c r="G92" s="2" t="s">
        <v>185</v>
      </c>
      <c r="H92" s="2" t="s">
        <v>122</v>
      </c>
      <c r="I92" s="2" t="s">
        <v>47</v>
      </c>
      <c r="J92" s="2">
        <v>1</v>
      </c>
      <c r="K92" s="3">
        <v>7.17</v>
      </c>
      <c r="L92" s="3">
        <v>7.17</v>
      </c>
      <c r="M92" s="4">
        <v>0</v>
      </c>
      <c r="N92" s="3">
        <v>0</v>
      </c>
      <c r="O92" s="3">
        <v>7.17</v>
      </c>
      <c r="P92" s="3">
        <v>2.81</v>
      </c>
      <c r="Q92" s="3">
        <v>4.3600000000000003</v>
      </c>
      <c r="R92" s="2" t="s">
        <v>48</v>
      </c>
      <c r="S92" s="2" t="s">
        <v>29</v>
      </c>
      <c r="T92" s="2" t="s">
        <v>30</v>
      </c>
      <c r="U92" s="2">
        <v>5</v>
      </c>
    </row>
    <row r="93" spans="1:21" x14ac:dyDescent="0.25">
      <c r="A93" s="2" t="s">
        <v>268</v>
      </c>
      <c r="B93" s="2" t="s">
        <v>269</v>
      </c>
      <c r="C93" s="2" t="str">
        <f>TEXT(TransactionsTable500[[#This Row],[Order Date]],"mmm")</f>
        <v>Apr</v>
      </c>
      <c r="D93" s="2" t="s">
        <v>270</v>
      </c>
      <c r="E93" s="2" t="s">
        <v>70</v>
      </c>
      <c r="F93" s="2" t="s">
        <v>44</v>
      </c>
      <c r="G93" s="2" t="s">
        <v>200</v>
      </c>
      <c r="H93" s="2" t="s">
        <v>53</v>
      </c>
      <c r="I93" s="2" t="s">
        <v>27</v>
      </c>
      <c r="J93" s="2">
        <v>1</v>
      </c>
      <c r="K93" s="3">
        <v>3.88</v>
      </c>
      <c r="L93" s="3">
        <v>3.88</v>
      </c>
      <c r="M93" s="4">
        <v>0</v>
      </c>
      <c r="N93" s="3">
        <v>0</v>
      </c>
      <c r="O93" s="3">
        <v>3.88</v>
      </c>
      <c r="P93" s="3">
        <v>1.34</v>
      </c>
      <c r="Q93" s="3">
        <v>2.54</v>
      </c>
      <c r="R93" s="2" t="s">
        <v>48</v>
      </c>
      <c r="S93" s="2" t="s">
        <v>66</v>
      </c>
      <c r="T93" s="2" t="s">
        <v>90</v>
      </c>
      <c r="U93" s="2">
        <v>5</v>
      </c>
    </row>
    <row r="94" spans="1:21" x14ac:dyDescent="0.25">
      <c r="A94" s="2" t="s">
        <v>271</v>
      </c>
      <c r="B94" s="2" t="s">
        <v>272</v>
      </c>
      <c r="C94" s="2" t="str">
        <f>TEXT(TransactionsTable500[[#This Row],[Order Date]],"mmm")</f>
        <v>Apr</v>
      </c>
      <c r="D94" s="2" t="s">
        <v>115</v>
      </c>
      <c r="E94" s="2" t="s">
        <v>70</v>
      </c>
      <c r="F94" s="2" t="s">
        <v>44</v>
      </c>
      <c r="G94" s="2" t="s">
        <v>76</v>
      </c>
      <c r="H94" s="2" t="s">
        <v>64</v>
      </c>
      <c r="I94" s="2" t="s">
        <v>65</v>
      </c>
      <c r="J94" s="2">
        <v>2</v>
      </c>
      <c r="K94" s="3">
        <v>2.52</v>
      </c>
      <c r="L94" s="3">
        <v>5.04</v>
      </c>
      <c r="M94" s="4">
        <v>0.1</v>
      </c>
      <c r="N94" s="3">
        <v>0.5</v>
      </c>
      <c r="O94" s="3">
        <v>4.54</v>
      </c>
      <c r="P94" s="3">
        <v>1.74</v>
      </c>
      <c r="Q94" s="3">
        <v>2.8</v>
      </c>
      <c r="R94" s="2" t="s">
        <v>28</v>
      </c>
      <c r="S94" s="2" t="s">
        <v>87</v>
      </c>
      <c r="T94" s="2" t="s">
        <v>90</v>
      </c>
      <c r="U94" s="2">
        <v>4</v>
      </c>
    </row>
    <row r="95" spans="1:21" x14ac:dyDescent="0.25">
      <c r="A95" s="2" t="s">
        <v>273</v>
      </c>
      <c r="B95" s="2" t="s">
        <v>274</v>
      </c>
      <c r="C95" s="2" t="str">
        <f>TEXT(TransactionsTable500[[#This Row],[Order Date]],"mmm")</f>
        <v>May</v>
      </c>
      <c r="D95" s="2" t="s">
        <v>32</v>
      </c>
      <c r="E95" s="2" t="s">
        <v>33</v>
      </c>
      <c r="F95" s="2" t="s">
        <v>34</v>
      </c>
      <c r="G95" s="2" t="s">
        <v>35</v>
      </c>
      <c r="H95" s="2" t="s">
        <v>112</v>
      </c>
      <c r="I95" s="2" t="s">
        <v>100</v>
      </c>
      <c r="J95" s="2">
        <v>2</v>
      </c>
      <c r="K95" s="3">
        <v>3.8</v>
      </c>
      <c r="L95" s="3">
        <v>7.6</v>
      </c>
      <c r="M95" s="4">
        <v>0</v>
      </c>
      <c r="N95" s="3">
        <v>0</v>
      </c>
      <c r="O95" s="3">
        <v>7.6</v>
      </c>
      <c r="P95" s="3">
        <v>2.44</v>
      </c>
      <c r="Q95" s="3">
        <v>5.16</v>
      </c>
      <c r="R95" s="2" t="s">
        <v>28</v>
      </c>
      <c r="S95" s="2" t="s">
        <v>87</v>
      </c>
      <c r="T95" s="2" t="s">
        <v>30</v>
      </c>
      <c r="U95" s="2">
        <v>3</v>
      </c>
    </row>
    <row r="96" spans="1:21" x14ac:dyDescent="0.25">
      <c r="A96" s="2" t="s">
        <v>275</v>
      </c>
      <c r="B96" s="2" t="s">
        <v>276</v>
      </c>
      <c r="C96" s="2" t="str">
        <f>TEXT(TransactionsTable500[[#This Row],[Order Date]],"mmm")</f>
        <v>May</v>
      </c>
      <c r="D96" s="2" t="s">
        <v>118</v>
      </c>
      <c r="E96" s="2" t="s">
        <v>119</v>
      </c>
      <c r="F96" s="2" t="s">
        <v>24</v>
      </c>
      <c r="G96" s="2" t="s">
        <v>120</v>
      </c>
      <c r="H96" s="2" t="s">
        <v>169</v>
      </c>
      <c r="I96" s="2" t="s">
        <v>65</v>
      </c>
      <c r="J96" s="2">
        <v>2</v>
      </c>
      <c r="K96" s="3">
        <v>3.05</v>
      </c>
      <c r="L96" s="3">
        <v>6.1</v>
      </c>
      <c r="M96" s="4">
        <v>0.1</v>
      </c>
      <c r="N96" s="3">
        <v>0.61</v>
      </c>
      <c r="O96" s="3">
        <v>5.49</v>
      </c>
      <c r="P96" s="3">
        <v>2.12</v>
      </c>
      <c r="Q96" s="3">
        <v>3.37</v>
      </c>
      <c r="R96" s="2" t="s">
        <v>48</v>
      </c>
      <c r="S96" s="2" t="s">
        <v>66</v>
      </c>
      <c r="T96" s="2" t="s">
        <v>90</v>
      </c>
      <c r="U96" s="2">
        <v>4</v>
      </c>
    </row>
    <row r="97" spans="1:21" x14ac:dyDescent="0.25">
      <c r="A97" s="2" t="s">
        <v>277</v>
      </c>
      <c r="B97" s="2" t="s">
        <v>278</v>
      </c>
      <c r="C97" s="2" t="str">
        <f>TEXT(TransactionsTable500[[#This Row],[Order Date]],"mmm")</f>
        <v>May</v>
      </c>
      <c r="D97" s="2" t="s">
        <v>165</v>
      </c>
      <c r="E97" s="2" t="s">
        <v>61</v>
      </c>
      <c r="F97" s="2" t="s">
        <v>62</v>
      </c>
      <c r="G97" s="2" t="s">
        <v>130</v>
      </c>
      <c r="H97" s="2" t="s">
        <v>103</v>
      </c>
      <c r="I97" s="2" t="s">
        <v>27</v>
      </c>
      <c r="J97" s="2">
        <v>3</v>
      </c>
      <c r="K97" s="3">
        <v>5</v>
      </c>
      <c r="L97" s="3">
        <v>15</v>
      </c>
      <c r="M97" s="4">
        <v>0</v>
      </c>
      <c r="N97" s="3">
        <v>0</v>
      </c>
      <c r="O97" s="3">
        <v>15</v>
      </c>
      <c r="P97" s="3">
        <v>5.69</v>
      </c>
      <c r="Q97" s="3">
        <v>9.31</v>
      </c>
      <c r="R97" s="2" t="s">
        <v>48</v>
      </c>
      <c r="S97" s="2" t="s">
        <v>29</v>
      </c>
      <c r="T97" s="2" t="s">
        <v>30</v>
      </c>
      <c r="U97" s="2">
        <v>3</v>
      </c>
    </row>
    <row r="98" spans="1:21" x14ac:dyDescent="0.25">
      <c r="A98" s="2" t="s">
        <v>279</v>
      </c>
      <c r="B98" s="2" t="s">
        <v>280</v>
      </c>
      <c r="C98" s="2" t="str">
        <f>TEXT(TransactionsTable500[[#This Row],[Order Date]],"mmm")</f>
        <v>May</v>
      </c>
      <c r="D98" s="2" t="s">
        <v>139</v>
      </c>
      <c r="E98" s="2" t="s">
        <v>70</v>
      </c>
      <c r="F98" s="2" t="s">
        <v>44</v>
      </c>
      <c r="G98" s="2" t="s">
        <v>71</v>
      </c>
      <c r="H98" s="2" t="s">
        <v>26</v>
      </c>
      <c r="I98" s="2" t="s">
        <v>27</v>
      </c>
      <c r="J98" s="2">
        <v>4</v>
      </c>
      <c r="K98" s="3">
        <v>5.41</v>
      </c>
      <c r="L98" s="3">
        <v>21.64</v>
      </c>
      <c r="M98" s="4">
        <v>0.05</v>
      </c>
      <c r="N98" s="3">
        <v>1.08</v>
      </c>
      <c r="O98" s="3">
        <v>20.56</v>
      </c>
      <c r="P98" s="3">
        <v>7.27</v>
      </c>
      <c r="Q98" s="3">
        <v>13.29</v>
      </c>
      <c r="R98" s="2" t="s">
        <v>48</v>
      </c>
      <c r="S98" s="2" t="s">
        <v>29</v>
      </c>
      <c r="T98" s="2" t="s">
        <v>30</v>
      </c>
      <c r="U98" s="2">
        <v>4</v>
      </c>
    </row>
    <row r="99" spans="1:21" x14ac:dyDescent="0.25">
      <c r="A99" s="2" t="s">
        <v>281</v>
      </c>
      <c r="B99" s="2" t="s">
        <v>280</v>
      </c>
      <c r="C99" s="2" t="str">
        <f>TEXT(TransactionsTable500[[#This Row],[Order Date]],"mmm")</f>
        <v>May</v>
      </c>
      <c r="D99" s="2" t="s">
        <v>212</v>
      </c>
      <c r="E99" s="2" t="s">
        <v>184</v>
      </c>
      <c r="F99" s="2" t="s">
        <v>62</v>
      </c>
      <c r="G99" s="2" t="s">
        <v>213</v>
      </c>
      <c r="H99" s="2" t="s">
        <v>99</v>
      </c>
      <c r="I99" s="2" t="s">
        <v>100</v>
      </c>
      <c r="J99" s="2">
        <v>4</v>
      </c>
      <c r="K99" s="3">
        <v>4.5199999999999996</v>
      </c>
      <c r="L99" s="3">
        <v>18.079999999999998</v>
      </c>
      <c r="M99" s="4">
        <v>0</v>
      </c>
      <c r="N99" s="3">
        <v>0</v>
      </c>
      <c r="O99" s="3">
        <v>18.079999999999998</v>
      </c>
      <c r="P99" s="3">
        <v>5.95</v>
      </c>
      <c r="Q99" s="3">
        <v>12.13</v>
      </c>
      <c r="R99" s="2" t="s">
        <v>48</v>
      </c>
      <c r="S99" s="2" t="s">
        <v>66</v>
      </c>
      <c r="T99" s="2" t="s">
        <v>30</v>
      </c>
      <c r="U99" s="2">
        <v>3</v>
      </c>
    </row>
    <row r="100" spans="1:21" x14ac:dyDescent="0.25">
      <c r="A100" s="2" t="s">
        <v>282</v>
      </c>
      <c r="B100" s="2" t="s">
        <v>283</v>
      </c>
      <c r="C100" s="2" t="str">
        <f>TEXT(TransactionsTable500[[#This Row],[Order Date]],"mmm")</f>
        <v>May</v>
      </c>
      <c r="D100" s="2" t="s">
        <v>129</v>
      </c>
      <c r="E100" s="2" t="s">
        <v>61</v>
      </c>
      <c r="F100" s="2" t="s">
        <v>62</v>
      </c>
      <c r="G100" s="2" t="s">
        <v>130</v>
      </c>
      <c r="H100" s="2" t="s">
        <v>140</v>
      </c>
      <c r="I100" s="2" t="s">
        <v>58</v>
      </c>
      <c r="J100" s="2">
        <v>3</v>
      </c>
      <c r="K100" s="3">
        <v>12.32</v>
      </c>
      <c r="L100" s="3">
        <v>36.96</v>
      </c>
      <c r="M100" s="4">
        <v>0</v>
      </c>
      <c r="N100" s="3">
        <v>0</v>
      </c>
      <c r="O100" s="3">
        <v>36.96</v>
      </c>
      <c r="P100" s="3">
        <v>13.19</v>
      </c>
      <c r="Q100" s="3">
        <v>23.77</v>
      </c>
      <c r="R100" s="2" t="s">
        <v>96</v>
      </c>
      <c r="S100" s="2" t="s">
        <v>66</v>
      </c>
      <c r="T100" s="2" t="s">
        <v>37</v>
      </c>
      <c r="U100" s="2">
        <v>5</v>
      </c>
    </row>
    <row r="101" spans="1:21" x14ac:dyDescent="0.25">
      <c r="A101" s="2" t="s">
        <v>284</v>
      </c>
      <c r="B101" s="2" t="s">
        <v>285</v>
      </c>
      <c r="C101" s="2" t="str">
        <f>TEXT(TransactionsTable500[[#This Row],[Order Date]],"mmm")</f>
        <v>May</v>
      </c>
      <c r="D101" s="2" t="s">
        <v>109</v>
      </c>
      <c r="E101" s="2" t="s">
        <v>33</v>
      </c>
      <c r="F101" s="2" t="s">
        <v>34</v>
      </c>
      <c r="G101" s="2" t="s">
        <v>110</v>
      </c>
      <c r="H101" s="2" t="s">
        <v>46</v>
      </c>
      <c r="I101" s="2" t="s">
        <v>47</v>
      </c>
      <c r="J101" s="2">
        <v>2</v>
      </c>
      <c r="K101" s="3">
        <v>8.35</v>
      </c>
      <c r="L101" s="3">
        <v>16.7</v>
      </c>
      <c r="M101" s="4">
        <v>0</v>
      </c>
      <c r="N101" s="3">
        <v>0</v>
      </c>
      <c r="O101" s="3">
        <v>16.7</v>
      </c>
      <c r="P101" s="3">
        <v>6.36</v>
      </c>
      <c r="Q101" s="3">
        <v>10.34</v>
      </c>
      <c r="R101" s="2" t="s">
        <v>48</v>
      </c>
      <c r="S101" s="2" t="s">
        <v>29</v>
      </c>
      <c r="T101" s="2" t="s">
        <v>30</v>
      </c>
      <c r="U101" s="2">
        <v>5</v>
      </c>
    </row>
    <row r="102" spans="1:21" x14ac:dyDescent="0.25">
      <c r="A102" s="2" t="s">
        <v>286</v>
      </c>
      <c r="B102" s="2" t="s">
        <v>287</v>
      </c>
      <c r="C102" s="2" t="str">
        <f>TEXT(TransactionsTable500[[#This Row],[Order Date]],"mmm")</f>
        <v>May</v>
      </c>
      <c r="D102" s="2" t="s">
        <v>69</v>
      </c>
      <c r="E102" s="2" t="s">
        <v>70</v>
      </c>
      <c r="F102" s="2" t="s">
        <v>44</v>
      </c>
      <c r="G102" s="2" t="s">
        <v>71</v>
      </c>
      <c r="H102" s="2" t="s">
        <v>46</v>
      </c>
      <c r="I102" s="2" t="s">
        <v>47</v>
      </c>
      <c r="J102" s="2">
        <v>1</v>
      </c>
      <c r="K102" s="3">
        <v>8.57</v>
      </c>
      <c r="L102" s="3">
        <v>8.57</v>
      </c>
      <c r="M102" s="4">
        <v>0</v>
      </c>
      <c r="N102" s="3">
        <v>0</v>
      </c>
      <c r="O102" s="3">
        <v>8.57</v>
      </c>
      <c r="P102" s="3">
        <v>2.88</v>
      </c>
      <c r="Q102" s="3">
        <v>5.69</v>
      </c>
      <c r="R102" s="2" t="s">
        <v>28</v>
      </c>
      <c r="S102" s="2" t="s">
        <v>29</v>
      </c>
      <c r="T102" s="2" t="s">
        <v>90</v>
      </c>
      <c r="U102" s="2">
        <v>4</v>
      </c>
    </row>
    <row r="103" spans="1:21" x14ac:dyDescent="0.25">
      <c r="A103" s="2" t="s">
        <v>288</v>
      </c>
      <c r="B103" s="2" t="s">
        <v>287</v>
      </c>
      <c r="C103" s="2" t="str">
        <f>TEXT(TransactionsTable500[[#This Row],[Order Date]],"mmm")</f>
        <v>May</v>
      </c>
      <c r="D103" s="2" t="s">
        <v>105</v>
      </c>
      <c r="E103" s="2" t="s">
        <v>61</v>
      </c>
      <c r="F103" s="2" t="s">
        <v>62</v>
      </c>
      <c r="G103" s="2" t="s">
        <v>85</v>
      </c>
      <c r="H103" s="2" t="s">
        <v>46</v>
      </c>
      <c r="I103" s="2" t="s">
        <v>47</v>
      </c>
      <c r="J103" s="2">
        <v>1</v>
      </c>
      <c r="K103" s="3">
        <v>8.4700000000000006</v>
      </c>
      <c r="L103" s="3">
        <v>8.4700000000000006</v>
      </c>
      <c r="M103" s="4">
        <v>0</v>
      </c>
      <c r="N103" s="3">
        <v>0</v>
      </c>
      <c r="O103" s="3">
        <v>8.4700000000000006</v>
      </c>
      <c r="P103" s="3">
        <v>2.9</v>
      </c>
      <c r="Q103" s="3">
        <v>5.57</v>
      </c>
      <c r="R103" s="2" t="s">
        <v>96</v>
      </c>
      <c r="S103" s="2" t="s">
        <v>66</v>
      </c>
      <c r="T103" s="2" t="s">
        <v>30</v>
      </c>
      <c r="U103" s="2">
        <v>5</v>
      </c>
    </row>
    <row r="104" spans="1:21" x14ac:dyDescent="0.25">
      <c r="A104" s="2" t="s">
        <v>289</v>
      </c>
      <c r="B104" s="2" t="s">
        <v>287</v>
      </c>
      <c r="C104" s="2" t="str">
        <f>TEXT(TransactionsTable500[[#This Row],[Order Date]],"mmm")</f>
        <v>May</v>
      </c>
      <c r="D104" s="2" t="s">
        <v>183</v>
      </c>
      <c r="E104" s="2" t="s">
        <v>184</v>
      </c>
      <c r="F104" s="2" t="s">
        <v>62</v>
      </c>
      <c r="G104" s="2" t="s">
        <v>185</v>
      </c>
      <c r="H104" s="2" t="s">
        <v>157</v>
      </c>
      <c r="I104" s="2" t="s">
        <v>47</v>
      </c>
      <c r="J104" s="2">
        <v>3</v>
      </c>
      <c r="K104" s="3">
        <v>7.51</v>
      </c>
      <c r="L104" s="3">
        <v>22.53</v>
      </c>
      <c r="M104" s="4">
        <v>0</v>
      </c>
      <c r="N104" s="3">
        <v>0</v>
      </c>
      <c r="O104" s="3">
        <v>22.53</v>
      </c>
      <c r="P104" s="3">
        <v>8.0399999999999991</v>
      </c>
      <c r="Q104" s="3">
        <v>14.49</v>
      </c>
      <c r="R104" s="2" t="s">
        <v>48</v>
      </c>
      <c r="S104" s="2" t="s">
        <v>29</v>
      </c>
      <c r="T104" s="2" t="s">
        <v>30</v>
      </c>
      <c r="U104" s="2">
        <v>4</v>
      </c>
    </row>
    <row r="105" spans="1:21" x14ac:dyDescent="0.25">
      <c r="A105" s="2" t="s">
        <v>290</v>
      </c>
      <c r="B105" s="2" t="s">
        <v>291</v>
      </c>
      <c r="C105" s="2" t="str">
        <f>TEXT(TransactionsTable500[[#This Row],[Order Date]],"mmm")</f>
        <v>May</v>
      </c>
      <c r="D105" s="2" t="s">
        <v>118</v>
      </c>
      <c r="E105" s="2" t="s">
        <v>119</v>
      </c>
      <c r="F105" s="2" t="s">
        <v>24</v>
      </c>
      <c r="G105" s="2" t="s">
        <v>120</v>
      </c>
      <c r="H105" s="2" t="s">
        <v>99</v>
      </c>
      <c r="I105" s="2" t="s">
        <v>100</v>
      </c>
      <c r="J105" s="2">
        <v>1</v>
      </c>
      <c r="K105" s="3">
        <v>4.67</v>
      </c>
      <c r="L105" s="3">
        <v>4.67</v>
      </c>
      <c r="M105" s="4">
        <v>0</v>
      </c>
      <c r="N105" s="3">
        <v>0</v>
      </c>
      <c r="O105" s="3">
        <v>4.67</v>
      </c>
      <c r="P105" s="3">
        <v>1.55</v>
      </c>
      <c r="Q105" s="3">
        <v>3.12</v>
      </c>
      <c r="R105" s="2" t="s">
        <v>28</v>
      </c>
      <c r="S105" s="2" t="s">
        <v>87</v>
      </c>
      <c r="T105" s="2" t="s">
        <v>30</v>
      </c>
      <c r="U105" s="2">
        <v>4</v>
      </c>
    </row>
    <row r="106" spans="1:21" x14ac:dyDescent="0.25">
      <c r="A106" s="2" t="s">
        <v>292</v>
      </c>
      <c r="B106" s="2" t="s">
        <v>293</v>
      </c>
      <c r="C106" s="2" t="str">
        <f>TEXT(TransactionsTable500[[#This Row],[Order Date]],"mmm")</f>
        <v>May</v>
      </c>
      <c r="D106" s="2" t="s">
        <v>80</v>
      </c>
      <c r="E106" s="2" t="s">
        <v>23</v>
      </c>
      <c r="F106" s="2" t="s">
        <v>24</v>
      </c>
      <c r="G106" s="2" t="s">
        <v>81</v>
      </c>
      <c r="H106" s="2" t="s">
        <v>140</v>
      </c>
      <c r="I106" s="2" t="s">
        <v>58</v>
      </c>
      <c r="J106" s="2">
        <v>2</v>
      </c>
      <c r="K106" s="3">
        <v>13.11</v>
      </c>
      <c r="L106" s="3">
        <v>26.22</v>
      </c>
      <c r="M106" s="4">
        <v>0.05</v>
      </c>
      <c r="N106" s="3">
        <v>1.31</v>
      </c>
      <c r="O106" s="3">
        <v>24.91</v>
      </c>
      <c r="P106" s="3">
        <v>8.11</v>
      </c>
      <c r="Q106" s="3">
        <v>16.8</v>
      </c>
      <c r="R106" s="2" t="s">
        <v>28</v>
      </c>
      <c r="S106" s="2" t="s">
        <v>66</v>
      </c>
      <c r="T106" s="2" t="s">
        <v>30</v>
      </c>
      <c r="U106" s="2">
        <v>5</v>
      </c>
    </row>
    <row r="107" spans="1:21" x14ac:dyDescent="0.25">
      <c r="A107" s="2" t="s">
        <v>294</v>
      </c>
      <c r="B107" s="2" t="s">
        <v>295</v>
      </c>
      <c r="C107" s="2" t="str">
        <f>TEXT(TransactionsTable500[[#This Row],[Order Date]],"mmm")</f>
        <v>May</v>
      </c>
      <c r="D107" s="2" t="s">
        <v>84</v>
      </c>
      <c r="E107" s="2" t="s">
        <v>61</v>
      </c>
      <c r="F107" s="2" t="s">
        <v>62</v>
      </c>
      <c r="G107" s="2" t="s">
        <v>85</v>
      </c>
      <c r="H107" s="2" t="s">
        <v>64</v>
      </c>
      <c r="I107" s="2" t="s">
        <v>65</v>
      </c>
      <c r="J107" s="2">
        <v>1</v>
      </c>
      <c r="K107" s="3">
        <v>2.46</v>
      </c>
      <c r="L107" s="3">
        <v>2.46</v>
      </c>
      <c r="M107" s="4">
        <v>0.15</v>
      </c>
      <c r="N107" s="3">
        <v>0.37</v>
      </c>
      <c r="O107" s="3">
        <v>2.09</v>
      </c>
      <c r="P107" s="3">
        <v>0.79</v>
      </c>
      <c r="Q107" s="3">
        <v>1.3</v>
      </c>
      <c r="R107" s="2" t="s">
        <v>28</v>
      </c>
      <c r="S107" s="2" t="s">
        <v>29</v>
      </c>
      <c r="T107" s="2" t="s">
        <v>37</v>
      </c>
      <c r="U107" s="2">
        <v>5</v>
      </c>
    </row>
    <row r="108" spans="1:21" x14ac:dyDescent="0.25">
      <c r="A108" s="2" t="s">
        <v>296</v>
      </c>
      <c r="B108" s="2" t="s">
        <v>295</v>
      </c>
      <c r="C108" s="2" t="str">
        <f>TEXT(TransactionsTable500[[#This Row],[Order Date]],"mmm")</f>
        <v>May</v>
      </c>
      <c r="D108" s="2" t="s">
        <v>183</v>
      </c>
      <c r="E108" s="2" t="s">
        <v>184</v>
      </c>
      <c r="F108" s="2" t="s">
        <v>62</v>
      </c>
      <c r="G108" s="2" t="s">
        <v>185</v>
      </c>
      <c r="H108" s="2" t="s">
        <v>93</v>
      </c>
      <c r="I108" s="2" t="s">
        <v>65</v>
      </c>
      <c r="J108" s="2">
        <v>1</v>
      </c>
      <c r="K108" s="3">
        <v>3.71</v>
      </c>
      <c r="L108" s="3">
        <v>3.71</v>
      </c>
      <c r="M108" s="4">
        <v>0</v>
      </c>
      <c r="N108" s="3">
        <v>0</v>
      </c>
      <c r="O108" s="3">
        <v>3.71</v>
      </c>
      <c r="P108" s="3">
        <v>1.43</v>
      </c>
      <c r="Q108" s="3">
        <v>2.2799999999999998</v>
      </c>
      <c r="R108" s="2" t="s">
        <v>28</v>
      </c>
      <c r="S108" s="2" t="s">
        <v>29</v>
      </c>
      <c r="T108" s="2" t="s">
        <v>90</v>
      </c>
      <c r="U108" s="2">
        <v>3</v>
      </c>
    </row>
    <row r="109" spans="1:21" x14ac:dyDescent="0.25">
      <c r="A109" s="2" t="s">
        <v>297</v>
      </c>
      <c r="B109" s="2" t="s">
        <v>298</v>
      </c>
      <c r="C109" s="2" t="str">
        <f>TEXT(TransactionsTable500[[#This Row],[Order Date]],"mmm")</f>
        <v>May</v>
      </c>
      <c r="D109" s="2" t="s">
        <v>155</v>
      </c>
      <c r="E109" s="2" t="s">
        <v>61</v>
      </c>
      <c r="F109" s="2" t="s">
        <v>62</v>
      </c>
      <c r="G109" s="2" t="s">
        <v>156</v>
      </c>
      <c r="H109" s="2" t="s">
        <v>93</v>
      </c>
      <c r="I109" s="2" t="s">
        <v>65</v>
      </c>
      <c r="J109" s="2">
        <v>1</v>
      </c>
      <c r="K109" s="3">
        <v>3.72</v>
      </c>
      <c r="L109" s="3">
        <v>3.72</v>
      </c>
      <c r="M109" s="4">
        <v>0</v>
      </c>
      <c r="N109" s="3">
        <v>0</v>
      </c>
      <c r="O109" s="3">
        <v>3.72</v>
      </c>
      <c r="P109" s="3">
        <v>1.28</v>
      </c>
      <c r="Q109" s="3">
        <v>2.44</v>
      </c>
      <c r="R109" s="2" t="s">
        <v>96</v>
      </c>
      <c r="S109" s="2" t="s">
        <v>87</v>
      </c>
      <c r="T109" s="2" t="s">
        <v>30</v>
      </c>
      <c r="U109" s="2">
        <v>5</v>
      </c>
    </row>
    <row r="110" spans="1:21" x14ac:dyDescent="0.25">
      <c r="A110" s="2" t="s">
        <v>299</v>
      </c>
      <c r="B110" s="2" t="s">
        <v>298</v>
      </c>
      <c r="C110" s="2" t="str">
        <f>TEXT(TransactionsTable500[[#This Row],[Order Date]],"mmm")</f>
        <v>May</v>
      </c>
      <c r="D110" s="2" t="s">
        <v>105</v>
      </c>
      <c r="E110" s="2" t="s">
        <v>61</v>
      </c>
      <c r="F110" s="2" t="s">
        <v>62</v>
      </c>
      <c r="G110" s="2" t="s">
        <v>85</v>
      </c>
      <c r="H110" s="2" t="s">
        <v>57</v>
      </c>
      <c r="I110" s="2" t="s">
        <v>58</v>
      </c>
      <c r="J110" s="2">
        <v>1</v>
      </c>
      <c r="K110" s="3">
        <v>9.41</v>
      </c>
      <c r="L110" s="3">
        <v>9.41</v>
      </c>
      <c r="M110" s="4">
        <v>0.05</v>
      </c>
      <c r="N110" s="3">
        <v>0.47</v>
      </c>
      <c r="O110" s="3">
        <v>8.94</v>
      </c>
      <c r="P110" s="3">
        <v>3.74</v>
      </c>
      <c r="Q110" s="3">
        <v>5.2</v>
      </c>
      <c r="R110" s="2" t="s">
        <v>96</v>
      </c>
      <c r="S110" s="2" t="s">
        <v>66</v>
      </c>
      <c r="T110" s="2" t="s">
        <v>37</v>
      </c>
      <c r="U110" s="2">
        <v>4</v>
      </c>
    </row>
    <row r="111" spans="1:21" x14ac:dyDescent="0.25">
      <c r="A111" s="2" t="s">
        <v>300</v>
      </c>
      <c r="B111" s="2" t="s">
        <v>301</v>
      </c>
      <c r="C111" s="2" t="str">
        <f>TEXT(TransactionsTable500[[#This Row],[Order Date]],"mmm")</f>
        <v>May</v>
      </c>
      <c r="D111" s="2" t="s">
        <v>105</v>
      </c>
      <c r="E111" s="2" t="s">
        <v>61</v>
      </c>
      <c r="F111" s="2" t="s">
        <v>62</v>
      </c>
      <c r="G111" s="2" t="s">
        <v>85</v>
      </c>
      <c r="H111" s="2" t="s">
        <v>26</v>
      </c>
      <c r="I111" s="2" t="s">
        <v>27</v>
      </c>
      <c r="J111" s="2">
        <v>2</v>
      </c>
      <c r="K111" s="3">
        <v>5.45</v>
      </c>
      <c r="L111" s="3">
        <v>10.9</v>
      </c>
      <c r="M111" s="4">
        <v>0</v>
      </c>
      <c r="N111" s="3">
        <v>0</v>
      </c>
      <c r="O111" s="3">
        <v>10.9</v>
      </c>
      <c r="P111" s="3">
        <v>4.22</v>
      </c>
      <c r="Q111" s="3">
        <v>6.68</v>
      </c>
      <c r="R111" s="2" t="s">
        <v>28</v>
      </c>
      <c r="S111" s="2" t="s">
        <v>29</v>
      </c>
      <c r="T111" s="2" t="s">
        <v>30</v>
      </c>
      <c r="U111" s="2">
        <v>3</v>
      </c>
    </row>
    <row r="112" spans="1:21" x14ac:dyDescent="0.25">
      <c r="A112" s="2" t="s">
        <v>302</v>
      </c>
      <c r="B112" s="2" t="s">
        <v>301</v>
      </c>
      <c r="C112" s="2" t="str">
        <f>TEXT(TransactionsTable500[[#This Row],[Order Date]],"mmm")</f>
        <v>May</v>
      </c>
      <c r="D112" s="2" t="s">
        <v>127</v>
      </c>
      <c r="E112" s="2" t="s">
        <v>23</v>
      </c>
      <c r="F112" s="2" t="s">
        <v>24</v>
      </c>
      <c r="G112" s="2" t="s">
        <v>25</v>
      </c>
      <c r="H112" s="2" t="s">
        <v>228</v>
      </c>
      <c r="I112" s="2" t="s">
        <v>65</v>
      </c>
      <c r="J112" s="2">
        <v>4</v>
      </c>
      <c r="K112" s="3">
        <v>3.38</v>
      </c>
      <c r="L112" s="3">
        <v>13.52</v>
      </c>
      <c r="M112" s="4">
        <v>0</v>
      </c>
      <c r="N112" s="3">
        <v>0</v>
      </c>
      <c r="O112" s="3">
        <v>13.52</v>
      </c>
      <c r="P112" s="3">
        <v>5.08</v>
      </c>
      <c r="Q112" s="3">
        <v>8.44</v>
      </c>
      <c r="R112" s="2" t="s">
        <v>48</v>
      </c>
      <c r="S112" s="2" t="s">
        <v>66</v>
      </c>
      <c r="T112" s="2" t="s">
        <v>30</v>
      </c>
      <c r="U112" s="2">
        <v>5</v>
      </c>
    </row>
    <row r="113" spans="1:21" x14ac:dyDescent="0.25">
      <c r="A113" s="2" t="s">
        <v>303</v>
      </c>
      <c r="B113" s="2" t="s">
        <v>304</v>
      </c>
      <c r="C113" s="2" t="str">
        <f>TEXT(TransactionsTable500[[#This Row],[Order Date]],"mmm")</f>
        <v>May</v>
      </c>
      <c r="D113" s="2" t="s">
        <v>165</v>
      </c>
      <c r="E113" s="2" t="s">
        <v>61</v>
      </c>
      <c r="F113" s="2" t="s">
        <v>62</v>
      </c>
      <c r="G113" s="2" t="s">
        <v>130</v>
      </c>
      <c r="H113" s="2" t="s">
        <v>231</v>
      </c>
      <c r="I113" s="2" t="s">
        <v>100</v>
      </c>
      <c r="J113" s="2">
        <v>1</v>
      </c>
      <c r="K113" s="3">
        <v>4.6399999999999997</v>
      </c>
      <c r="L113" s="3">
        <v>4.6399999999999997</v>
      </c>
      <c r="M113" s="4">
        <v>0</v>
      </c>
      <c r="N113" s="3">
        <v>0</v>
      </c>
      <c r="O113" s="3">
        <v>4.6399999999999997</v>
      </c>
      <c r="P113" s="3">
        <v>1.66</v>
      </c>
      <c r="Q113" s="3">
        <v>2.98</v>
      </c>
      <c r="R113" s="2" t="s">
        <v>48</v>
      </c>
      <c r="S113" s="2" t="s">
        <v>66</v>
      </c>
      <c r="T113" s="2" t="s">
        <v>90</v>
      </c>
      <c r="U113" s="2">
        <v>4</v>
      </c>
    </row>
    <row r="114" spans="1:21" x14ac:dyDescent="0.25">
      <c r="A114" s="2" t="s">
        <v>305</v>
      </c>
      <c r="B114" s="2" t="s">
        <v>304</v>
      </c>
      <c r="C114" s="2" t="str">
        <f>TEXT(TransactionsTable500[[#This Row],[Order Date]],"mmm")</f>
        <v>May</v>
      </c>
      <c r="D114" s="2" t="s">
        <v>95</v>
      </c>
      <c r="E114" s="2" t="s">
        <v>23</v>
      </c>
      <c r="F114" s="2" t="s">
        <v>24</v>
      </c>
      <c r="G114" s="2" t="s">
        <v>52</v>
      </c>
      <c r="H114" s="2" t="s">
        <v>57</v>
      </c>
      <c r="I114" s="2" t="s">
        <v>58</v>
      </c>
      <c r="J114" s="2">
        <v>1</v>
      </c>
      <c r="K114" s="3">
        <v>8.8000000000000007</v>
      </c>
      <c r="L114" s="3">
        <v>8.8000000000000007</v>
      </c>
      <c r="M114" s="4">
        <v>0</v>
      </c>
      <c r="N114" s="3">
        <v>0</v>
      </c>
      <c r="O114" s="3">
        <v>8.8000000000000007</v>
      </c>
      <c r="P114" s="3">
        <v>3.61</v>
      </c>
      <c r="Q114" s="3">
        <v>5.19</v>
      </c>
      <c r="R114" s="2" t="s">
        <v>48</v>
      </c>
      <c r="S114" s="2" t="s">
        <v>29</v>
      </c>
      <c r="T114" s="2" t="s">
        <v>90</v>
      </c>
      <c r="U114" s="2">
        <v>4</v>
      </c>
    </row>
    <row r="115" spans="1:21" x14ac:dyDescent="0.25">
      <c r="A115" s="2" t="s">
        <v>306</v>
      </c>
      <c r="B115" s="2" t="s">
        <v>307</v>
      </c>
      <c r="C115" s="2" t="str">
        <f>TEXT(TransactionsTable500[[#This Row],[Order Date]],"mmm")</f>
        <v>Jun</v>
      </c>
      <c r="D115" s="2" t="s">
        <v>143</v>
      </c>
      <c r="E115" s="2" t="s">
        <v>43</v>
      </c>
      <c r="F115" s="2" t="s">
        <v>44</v>
      </c>
      <c r="G115" s="2" t="s">
        <v>144</v>
      </c>
      <c r="H115" s="2" t="s">
        <v>112</v>
      </c>
      <c r="I115" s="2" t="s">
        <v>100</v>
      </c>
      <c r="J115" s="2">
        <v>1</v>
      </c>
      <c r="K115" s="3">
        <v>3.96</v>
      </c>
      <c r="L115" s="3">
        <v>3.96</v>
      </c>
      <c r="M115" s="4">
        <v>0.15</v>
      </c>
      <c r="N115" s="3">
        <v>0.59</v>
      </c>
      <c r="O115" s="3">
        <v>3.37</v>
      </c>
      <c r="P115" s="3">
        <v>1.31</v>
      </c>
      <c r="Q115" s="3">
        <v>2.06</v>
      </c>
      <c r="R115" s="2" t="s">
        <v>28</v>
      </c>
      <c r="S115" s="2" t="s">
        <v>29</v>
      </c>
      <c r="T115" s="2" t="s">
        <v>30</v>
      </c>
      <c r="U115" s="2">
        <v>5</v>
      </c>
    </row>
    <row r="116" spans="1:21" x14ac:dyDescent="0.25">
      <c r="A116" s="2" t="s">
        <v>308</v>
      </c>
      <c r="B116" s="2" t="s">
        <v>309</v>
      </c>
      <c r="C116" s="2" t="str">
        <f>TEXT(TransactionsTable500[[#This Row],[Order Date]],"mmm")</f>
        <v>Jun</v>
      </c>
      <c r="D116" s="2" t="s">
        <v>212</v>
      </c>
      <c r="E116" s="2" t="s">
        <v>184</v>
      </c>
      <c r="F116" s="2" t="s">
        <v>62</v>
      </c>
      <c r="G116" s="2" t="s">
        <v>213</v>
      </c>
      <c r="H116" s="2" t="s">
        <v>228</v>
      </c>
      <c r="I116" s="2" t="s">
        <v>65</v>
      </c>
      <c r="J116" s="2">
        <v>1</v>
      </c>
      <c r="K116" s="3">
        <v>3.26</v>
      </c>
      <c r="L116" s="3">
        <v>3.26</v>
      </c>
      <c r="M116" s="4">
        <v>0.05</v>
      </c>
      <c r="N116" s="3">
        <v>0.16</v>
      </c>
      <c r="O116" s="3">
        <v>3.1</v>
      </c>
      <c r="P116" s="3">
        <v>1.05</v>
      </c>
      <c r="Q116" s="3">
        <v>2.0499999999999998</v>
      </c>
      <c r="R116" s="2" t="s">
        <v>48</v>
      </c>
      <c r="S116" s="2" t="s">
        <v>87</v>
      </c>
      <c r="T116" s="2" t="s">
        <v>30</v>
      </c>
      <c r="U116" s="2">
        <v>5</v>
      </c>
    </row>
    <row r="117" spans="1:21" x14ac:dyDescent="0.25">
      <c r="A117" s="2" t="s">
        <v>310</v>
      </c>
      <c r="B117" s="2" t="s">
        <v>309</v>
      </c>
      <c r="C117" s="2" t="str">
        <f>TEXT(TransactionsTable500[[#This Row],[Order Date]],"mmm")</f>
        <v>Jun</v>
      </c>
      <c r="D117" s="2" t="s">
        <v>133</v>
      </c>
      <c r="E117" s="2" t="s">
        <v>119</v>
      </c>
      <c r="F117" s="2" t="s">
        <v>24</v>
      </c>
      <c r="G117" s="2" t="s">
        <v>134</v>
      </c>
      <c r="H117" s="2" t="s">
        <v>103</v>
      </c>
      <c r="I117" s="2" t="s">
        <v>27</v>
      </c>
      <c r="J117" s="2">
        <v>2</v>
      </c>
      <c r="K117" s="3">
        <v>4.9400000000000004</v>
      </c>
      <c r="L117" s="3">
        <v>9.8800000000000008</v>
      </c>
      <c r="M117" s="4">
        <v>0</v>
      </c>
      <c r="N117" s="3">
        <v>0</v>
      </c>
      <c r="O117" s="3">
        <v>9.8800000000000008</v>
      </c>
      <c r="P117" s="3">
        <v>3.5</v>
      </c>
      <c r="Q117" s="3">
        <v>6.38</v>
      </c>
      <c r="R117" s="2" t="s">
        <v>28</v>
      </c>
      <c r="S117" s="2" t="s">
        <v>36</v>
      </c>
      <c r="T117" s="2" t="s">
        <v>37</v>
      </c>
      <c r="U117" s="2">
        <v>5</v>
      </c>
    </row>
    <row r="118" spans="1:21" x14ac:dyDescent="0.25">
      <c r="A118" s="2" t="s">
        <v>311</v>
      </c>
      <c r="B118" s="2" t="s">
        <v>312</v>
      </c>
      <c r="C118" s="2" t="str">
        <f>TEXT(TransactionsTable500[[#This Row],[Order Date]],"mmm")</f>
        <v>Jun</v>
      </c>
      <c r="D118" s="2" t="s">
        <v>84</v>
      </c>
      <c r="E118" s="2" t="s">
        <v>61</v>
      </c>
      <c r="F118" s="2" t="s">
        <v>62</v>
      </c>
      <c r="G118" s="2" t="s">
        <v>85</v>
      </c>
      <c r="H118" s="2" t="s">
        <v>140</v>
      </c>
      <c r="I118" s="2" t="s">
        <v>58</v>
      </c>
      <c r="J118" s="2">
        <v>2</v>
      </c>
      <c r="K118" s="3">
        <v>13.11</v>
      </c>
      <c r="L118" s="3">
        <v>26.22</v>
      </c>
      <c r="M118" s="4">
        <v>0</v>
      </c>
      <c r="N118" s="3">
        <v>0</v>
      </c>
      <c r="O118" s="3">
        <v>26.22</v>
      </c>
      <c r="P118" s="3">
        <v>9.81</v>
      </c>
      <c r="Q118" s="3">
        <v>16.41</v>
      </c>
      <c r="R118" s="2" t="s">
        <v>48</v>
      </c>
      <c r="S118" s="2" t="s">
        <v>87</v>
      </c>
      <c r="T118" s="2" t="s">
        <v>37</v>
      </c>
      <c r="U118" s="2">
        <v>5</v>
      </c>
    </row>
    <row r="119" spans="1:21" x14ac:dyDescent="0.25">
      <c r="A119" s="2" t="s">
        <v>313</v>
      </c>
      <c r="B119" s="2" t="s">
        <v>314</v>
      </c>
      <c r="C119" s="2" t="str">
        <f>TEXT(TransactionsTable500[[#This Row],[Order Date]],"mmm")</f>
        <v>Jun</v>
      </c>
      <c r="D119" s="2" t="s">
        <v>127</v>
      </c>
      <c r="E119" s="2" t="s">
        <v>23</v>
      </c>
      <c r="F119" s="2" t="s">
        <v>24</v>
      </c>
      <c r="G119" s="2" t="s">
        <v>25</v>
      </c>
      <c r="H119" s="2" t="s">
        <v>26</v>
      </c>
      <c r="I119" s="2" t="s">
        <v>27</v>
      </c>
      <c r="J119" s="2">
        <v>5</v>
      </c>
      <c r="K119" s="3">
        <v>4.9400000000000004</v>
      </c>
      <c r="L119" s="3">
        <v>24.7</v>
      </c>
      <c r="M119" s="4">
        <v>0</v>
      </c>
      <c r="N119" s="3">
        <v>0</v>
      </c>
      <c r="O119" s="3">
        <v>24.7</v>
      </c>
      <c r="P119" s="3">
        <v>9.99</v>
      </c>
      <c r="Q119" s="3">
        <v>14.71</v>
      </c>
      <c r="R119" s="2" t="s">
        <v>28</v>
      </c>
      <c r="S119" s="2" t="s">
        <v>29</v>
      </c>
      <c r="T119" s="2" t="s">
        <v>30</v>
      </c>
      <c r="U119" s="2">
        <v>5</v>
      </c>
    </row>
    <row r="120" spans="1:21" x14ac:dyDescent="0.25">
      <c r="A120" s="2" t="s">
        <v>315</v>
      </c>
      <c r="B120" s="2" t="s">
        <v>316</v>
      </c>
      <c r="C120" s="2" t="str">
        <f>TEXT(TransactionsTable500[[#This Row],[Order Date]],"mmm")</f>
        <v>Jun</v>
      </c>
      <c r="D120" s="2" t="s">
        <v>95</v>
      </c>
      <c r="E120" s="2" t="s">
        <v>23</v>
      </c>
      <c r="F120" s="2" t="s">
        <v>24</v>
      </c>
      <c r="G120" s="2" t="s">
        <v>52</v>
      </c>
      <c r="H120" s="2" t="s">
        <v>228</v>
      </c>
      <c r="I120" s="2" t="s">
        <v>65</v>
      </c>
      <c r="J120" s="2">
        <v>2</v>
      </c>
      <c r="K120" s="3">
        <v>3.45</v>
      </c>
      <c r="L120" s="3">
        <v>6.9</v>
      </c>
      <c r="M120" s="4">
        <v>0</v>
      </c>
      <c r="N120" s="3">
        <v>0</v>
      </c>
      <c r="O120" s="3">
        <v>6.9</v>
      </c>
      <c r="P120" s="3">
        <v>2.62</v>
      </c>
      <c r="Q120" s="3">
        <v>4.28</v>
      </c>
      <c r="R120" s="2" t="s">
        <v>48</v>
      </c>
      <c r="S120" s="2" t="s">
        <v>66</v>
      </c>
      <c r="T120" s="2" t="s">
        <v>37</v>
      </c>
      <c r="U120" s="2">
        <v>4</v>
      </c>
    </row>
    <row r="121" spans="1:21" x14ac:dyDescent="0.25">
      <c r="A121" s="2" t="s">
        <v>317</v>
      </c>
      <c r="B121" s="2" t="s">
        <v>318</v>
      </c>
      <c r="C121" s="2" t="str">
        <f>TEXT(TransactionsTable500[[#This Row],[Order Date]],"mmm")</f>
        <v>Jun</v>
      </c>
      <c r="D121" s="2" t="s">
        <v>270</v>
      </c>
      <c r="E121" s="2" t="s">
        <v>70</v>
      </c>
      <c r="F121" s="2" t="s">
        <v>44</v>
      </c>
      <c r="G121" s="2" t="s">
        <v>200</v>
      </c>
      <c r="H121" s="2" t="s">
        <v>57</v>
      </c>
      <c r="I121" s="2" t="s">
        <v>58</v>
      </c>
      <c r="J121" s="2">
        <v>1</v>
      </c>
      <c r="K121" s="3">
        <v>8.67</v>
      </c>
      <c r="L121" s="3">
        <v>8.67</v>
      </c>
      <c r="M121" s="4">
        <v>0</v>
      </c>
      <c r="N121" s="3">
        <v>0</v>
      </c>
      <c r="O121" s="3">
        <v>8.67</v>
      </c>
      <c r="P121" s="3">
        <v>3.63</v>
      </c>
      <c r="Q121" s="3">
        <v>5.04</v>
      </c>
      <c r="R121" s="2" t="s">
        <v>28</v>
      </c>
      <c r="S121" s="2" t="s">
        <v>29</v>
      </c>
      <c r="T121" s="2" t="s">
        <v>30</v>
      </c>
      <c r="U121" s="2">
        <v>1</v>
      </c>
    </row>
    <row r="122" spans="1:21" x14ac:dyDescent="0.25">
      <c r="A122" s="2" t="s">
        <v>319</v>
      </c>
      <c r="B122" s="2" t="s">
        <v>320</v>
      </c>
      <c r="C122" s="2" t="str">
        <f>TEXT(TransactionsTable500[[#This Row],[Order Date]],"mmm")</f>
        <v>Jun</v>
      </c>
      <c r="D122" s="2" t="s">
        <v>105</v>
      </c>
      <c r="E122" s="2" t="s">
        <v>61</v>
      </c>
      <c r="F122" s="2" t="s">
        <v>62</v>
      </c>
      <c r="G122" s="2" t="s">
        <v>85</v>
      </c>
      <c r="H122" s="2" t="s">
        <v>140</v>
      </c>
      <c r="I122" s="2" t="s">
        <v>58</v>
      </c>
      <c r="J122" s="2">
        <v>4</v>
      </c>
      <c r="K122" s="3">
        <v>12.82</v>
      </c>
      <c r="L122" s="3">
        <v>51.28</v>
      </c>
      <c r="M122" s="4">
        <v>0</v>
      </c>
      <c r="N122" s="3">
        <v>0</v>
      </c>
      <c r="O122" s="3">
        <v>51.28</v>
      </c>
      <c r="P122" s="3">
        <v>18.940000000000001</v>
      </c>
      <c r="Q122" s="3">
        <v>32.340000000000003</v>
      </c>
      <c r="R122" s="2" t="s">
        <v>28</v>
      </c>
      <c r="S122" s="2" t="s">
        <v>66</v>
      </c>
      <c r="T122" s="2" t="s">
        <v>90</v>
      </c>
      <c r="U122" s="2">
        <v>3</v>
      </c>
    </row>
    <row r="123" spans="1:21" x14ac:dyDescent="0.25">
      <c r="A123" s="2" t="s">
        <v>321</v>
      </c>
      <c r="B123" s="2" t="s">
        <v>320</v>
      </c>
      <c r="C123" s="2" t="str">
        <f>TEXT(TransactionsTable500[[#This Row],[Order Date]],"mmm")</f>
        <v>Jun</v>
      </c>
      <c r="D123" s="2" t="s">
        <v>69</v>
      </c>
      <c r="E123" s="2" t="s">
        <v>70</v>
      </c>
      <c r="F123" s="2" t="s">
        <v>44</v>
      </c>
      <c r="G123" s="2" t="s">
        <v>71</v>
      </c>
      <c r="H123" s="2" t="s">
        <v>106</v>
      </c>
      <c r="I123" s="2" t="s">
        <v>100</v>
      </c>
      <c r="J123" s="2">
        <v>3</v>
      </c>
      <c r="K123" s="3">
        <v>3.57</v>
      </c>
      <c r="L123" s="3">
        <v>10.71</v>
      </c>
      <c r="M123" s="4">
        <v>0</v>
      </c>
      <c r="N123" s="3">
        <v>0</v>
      </c>
      <c r="O123" s="3">
        <v>10.71</v>
      </c>
      <c r="P123" s="3">
        <v>3.63</v>
      </c>
      <c r="Q123" s="3">
        <v>7.08</v>
      </c>
      <c r="R123" s="2" t="s">
        <v>28</v>
      </c>
      <c r="S123" s="2" t="s">
        <v>66</v>
      </c>
      <c r="T123" s="2" t="s">
        <v>37</v>
      </c>
      <c r="U123" s="2">
        <v>4</v>
      </c>
    </row>
    <row r="124" spans="1:21" x14ac:dyDescent="0.25">
      <c r="A124" s="2" t="s">
        <v>322</v>
      </c>
      <c r="B124" s="2" t="s">
        <v>323</v>
      </c>
      <c r="C124" s="2" t="str">
        <f>TEXT(TransactionsTable500[[#This Row],[Order Date]],"mmm")</f>
        <v>Jun</v>
      </c>
      <c r="D124" s="2" t="s">
        <v>42</v>
      </c>
      <c r="E124" s="2" t="s">
        <v>43</v>
      </c>
      <c r="F124" s="2" t="s">
        <v>44</v>
      </c>
      <c r="G124" s="2" t="s">
        <v>45</v>
      </c>
      <c r="H124" s="2" t="s">
        <v>112</v>
      </c>
      <c r="I124" s="2" t="s">
        <v>100</v>
      </c>
      <c r="J124" s="2">
        <v>2</v>
      </c>
      <c r="K124" s="3">
        <v>3.7</v>
      </c>
      <c r="L124" s="3">
        <v>7.4</v>
      </c>
      <c r="M124" s="4">
        <v>0</v>
      </c>
      <c r="N124" s="3">
        <v>0</v>
      </c>
      <c r="O124" s="3">
        <v>7.4</v>
      </c>
      <c r="P124" s="3">
        <v>3.04</v>
      </c>
      <c r="Q124" s="3">
        <v>4.3600000000000003</v>
      </c>
      <c r="R124" s="2" t="s">
        <v>28</v>
      </c>
      <c r="S124" s="2" t="s">
        <v>29</v>
      </c>
      <c r="T124" s="2" t="s">
        <v>30</v>
      </c>
      <c r="U124" s="2">
        <v>5</v>
      </c>
    </row>
    <row r="125" spans="1:21" x14ac:dyDescent="0.25">
      <c r="A125" s="2" t="s">
        <v>324</v>
      </c>
      <c r="B125" s="2" t="s">
        <v>325</v>
      </c>
      <c r="C125" s="2" t="str">
        <f>TEXT(TransactionsTable500[[#This Row],[Order Date]],"mmm")</f>
        <v>Jun</v>
      </c>
      <c r="D125" s="2" t="s">
        <v>177</v>
      </c>
      <c r="E125" s="2" t="s">
        <v>43</v>
      </c>
      <c r="F125" s="2" t="s">
        <v>44</v>
      </c>
      <c r="G125" s="2" t="s">
        <v>45</v>
      </c>
      <c r="H125" s="2" t="s">
        <v>203</v>
      </c>
      <c r="I125" s="2" t="s">
        <v>100</v>
      </c>
      <c r="J125" s="2">
        <v>2</v>
      </c>
      <c r="K125" s="3">
        <v>4.32</v>
      </c>
      <c r="L125" s="3">
        <v>8.64</v>
      </c>
      <c r="M125" s="4">
        <v>0.1</v>
      </c>
      <c r="N125" s="3">
        <v>0.86</v>
      </c>
      <c r="O125" s="3">
        <v>7.78</v>
      </c>
      <c r="P125" s="3">
        <v>3.16</v>
      </c>
      <c r="Q125" s="3">
        <v>4.62</v>
      </c>
      <c r="R125" s="2" t="s">
        <v>96</v>
      </c>
      <c r="S125" s="2" t="s">
        <v>66</v>
      </c>
      <c r="T125" s="2" t="s">
        <v>37</v>
      </c>
      <c r="U125" s="2">
        <v>5</v>
      </c>
    </row>
    <row r="126" spans="1:21" x14ac:dyDescent="0.25">
      <c r="A126" s="2" t="s">
        <v>326</v>
      </c>
      <c r="B126" s="2" t="s">
        <v>327</v>
      </c>
      <c r="C126" s="2" t="str">
        <f>TEXT(TransactionsTable500[[#This Row],[Order Date]],"mmm")</f>
        <v>Jun</v>
      </c>
      <c r="D126" s="2" t="s">
        <v>115</v>
      </c>
      <c r="E126" s="2" t="s">
        <v>70</v>
      </c>
      <c r="F126" s="2" t="s">
        <v>44</v>
      </c>
      <c r="G126" s="2" t="s">
        <v>76</v>
      </c>
      <c r="H126" s="2" t="s">
        <v>103</v>
      </c>
      <c r="I126" s="2" t="s">
        <v>27</v>
      </c>
      <c r="J126" s="2">
        <v>1</v>
      </c>
      <c r="K126" s="3">
        <v>5</v>
      </c>
      <c r="L126" s="3">
        <v>5</v>
      </c>
      <c r="M126" s="4">
        <v>0</v>
      </c>
      <c r="N126" s="3">
        <v>0</v>
      </c>
      <c r="O126" s="3">
        <v>5</v>
      </c>
      <c r="P126" s="3">
        <v>1.64</v>
      </c>
      <c r="Q126" s="3">
        <v>3.36</v>
      </c>
      <c r="R126" s="2" t="s">
        <v>28</v>
      </c>
      <c r="S126" s="2" t="s">
        <v>29</v>
      </c>
      <c r="T126" s="2" t="s">
        <v>30</v>
      </c>
      <c r="U126" s="2">
        <v>4</v>
      </c>
    </row>
    <row r="127" spans="1:21" x14ac:dyDescent="0.25">
      <c r="A127" s="2" t="s">
        <v>328</v>
      </c>
      <c r="B127" s="2" t="s">
        <v>327</v>
      </c>
      <c r="C127" s="2" t="str">
        <f>TEXT(TransactionsTable500[[#This Row],[Order Date]],"mmm")</f>
        <v>Jun</v>
      </c>
      <c r="D127" s="2" t="s">
        <v>40</v>
      </c>
      <c r="E127" s="2" t="s">
        <v>33</v>
      </c>
      <c r="F127" s="2" t="s">
        <v>34</v>
      </c>
      <c r="G127" s="2" t="s">
        <v>35</v>
      </c>
      <c r="H127" s="2" t="s">
        <v>231</v>
      </c>
      <c r="I127" s="2" t="s">
        <v>100</v>
      </c>
      <c r="J127" s="2">
        <v>2</v>
      </c>
      <c r="K127" s="3">
        <v>4.76</v>
      </c>
      <c r="L127" s="3">
        <v>9.52</v>
      </c>
      <c r="M127" s="4">
        <v>0</v>
      </c>
      <c r="N127" s="3">
        <v>0</v>
      </c>
      <c r="O127" s="3">
        <v>9.52</v>
      </c>
      <c r="P127" s="3">
        <v>3.27</v>
      </c>
      <c r="Q127" s="3">
        <v>6.25</v>
      </c>
      <c r="R127" s="2" t="s">
        <v>48</v>
      </c>
      <c r="S127" s="2" t="s">
        <v>66</v>
      </c>
      <c r="T127" s="2" t="s">
        <v>30</v>
      </c>
      <c r="U127" s="2">
        <v>4</v>
      </c>
    </row>
    <row r="128" spans="1:21" x14ac:dyDescent="0.25">
      <c r="A128" s="2" t="s">
        <v>329</v>
      </c>
      <c r="B128" s="2" t="s">
        <v>327</v>
      </c>
      <c r="C128" s="2" t="str">
        <f>TEXT(TransactionsTable500[[#This Row],[Order Date]],"mmm")</f>
        <v>Jun</v>
      </c>
      <c r="D128" s="2" t="s">
        <v>139</v>
      </c>
      <c r="E128" s="2" t="s">
        <v>70</v>
      </c>
      <c r="F128" s="2" t="s">
        <v>44</v>
      </c>
      <c r="G128" s="2" t="s">
        <v>71</v>
      </c>
      <c r="H128" s="2" t="s">
        <v>57</v>
      </c>
      <c r="I128" s="2" t="s">
        <v>58</v>
      </c>
      <c r="J128" s="2">
        <v>1</v>
      </c>
      <c r="K128" s="3">
        <v>8.65</v>
      </c>
      <c r="L128" s="3">
        <v>8.65</v>
      </c>
      <c r="M128" s="4">
        <v>0</v>
      </c>
      <c r="N128" s="3">
        <v>0</v>
      </c>
      <c r="O128" s="3">
        <v>8.65</v>
      </c>
      <c r="P128" s="3">
        <v>3.42</v>
      </c>
      <c r="Q128" s="3">
        <v>5.23</v>
      </c>
      <c r="R128" s="2" t="s">
        <v>48</v>
      </c>
      <c r="S128" s="2" t="s">
        <v>36</v>
      </c>
      <c r="T128" s="2" t="s">
        <v>90</v>
      </c>
      <c r="U128" s="2">
        <v>3</v>
      </c>
    </row>
    <row r="129" spans="1:21" x14ac:dyDescent="0.25">
      <c r="A129" s="2" t="s">
        <v>330</v>
      </c>
      <c r="B129" s="2" t="s">
        <v>331</v>
      </c>
      <c r="C129" s="2" t="str">
        <f>TEXT(TransactionsTable500[[#This Row],[Order Date]],"mmm")</f>
        <v>Jun</v>
      </c>
      <c r="D129" s="2" t="s">
        <v>155</v>
      </c>
      <c r="E129" s="2" t="s">
        <v>61</v>
      </c>
      <c r="F129" s="2" t="s">
        <v>62</v>
      </c>
      <c r="G129" s="2" t="s">
        <v>156</v>
      </c>
      <c r="H129" s="2" t="s">
        <v>26</v>
      </c>
      <c r="I129" s="2" t="s">
        <v>27</v>
      </c>
      <c r="J129" s="2">
        <v>1</v>
      </c>
      <c r="K129" s="3">
        <v>4.96</v>
      </c>
      <c r="L129" s="3">
        <v>4.96</v>
      </c>
      <c r="M129" s="4">
        <v>0</v>
      </c>
      <c r="N129" s="3">
        <v>0</v>
      </c>
      <c r="O129" s="3">
        <v>4.96</v>
      </c>
      <c r="P129" s="3">
        <v>1.76</v>
      </c>
      <c r="Q129" s="3">
        <v>3.2</v>
      </c>
      <c r="R129" s="2" t="s">
        <v>48</v>
      </c>
      <c r="S129" s="2" t="s">
        <v>36</v>
      </c>
      <c r="T129" s="2" t="s">
        <v>37</v>
      </c>
      <c r="U129" s="2">
        <v>4</v>
      </c>
    </row>
    <row r="130" spans="1:21" x14ac:dyDescent="0.25">
      <c r="A130" s="2" t="s">
        <v>332</v>
      </c>
      <c r="B130" s="2" t="s">
        <v>333</v>
      </c>
      <c r="C130" s="2" t="str">
        <f>TEXT(TransactionsTable500[[#This Row],[Order Date]],"mmm")</f>
        <v>Jun</v>
      </c>
      <c r="D130" s="2" t="s">
        <v>155</v>
      </c>
      <c r="E130" s="2" t="s">
        <v>61</v>
      </c>
      <c r="F130" s="2" t="s">
        <v>62</v>
      </c>
      <c r="G130" s="2" t="s">
        <v>156</v>
      </c>
      <c r="H130" s="2" t="s">
        <v>140</v>
      </c>
      <c r="I130" s="2" t="s">
        <v>58</v>
      </c>
      <c r="J130" s="2">
        <v>2</v>
      </c>
      <c r="K130" s="3">
        <v>12.71</v>
      </c>
      <c r="L130" s="3">
        <v>25.42</v>
      </c>
      <c r="M130" s="4">
        <v>0</v>
      </c>
      <c r="N130" s="3">
        <v>0</v>
      </c>
      <c r="O130" s="3">
        <v>25.42</v>
      </c>
      <c r="P130" s="3">
        <v>8.94</v>
      </c>
      <c r="Q130" s="3">
        <v>16.48</v>
      </c>
      <c r="R130" s="2" t="s">
        <v>48</v>
      </c>
      <c r="S130" s="2" t="s">
        <v>66</v>
      </c>
      <c r="T130" s="2" t="s">
        <v>90</v>
      </c>
      <c r="U130" s="2">
        <v>2</v>
      </c>
    </row>
    <row r="131" spans="1:21" x14ac:dyDescent="0.25">
      <c r="A131" s="2" t="s">
        <v>334</v>
      </c>
      <c r="B131" s="2" t="s">
        <v>335</v>
      </c>
      <c r="C131" s="2" t="str">
        <f>TEXT(TransactionsTable500[[#This Row],[Order Date]],"mmm")</f>
        <v>Jun</v>
      </c>
      <c r="D131" s="2" t="s">
        <v>109</v>
      </c>
      <c r="E131" s="2" t="s">
        <v>33</v>
      </c>
      <c r="F131" s="2" t="s">
        <v>34</v>
      </c>
      <c r="G131" s="2" t="s">
        <v>110</v>
      </c>
      <c r="H131" s="2" t="s">
        <v>157</v>
      </c>
      <c r="I131" s="2" t="s">
        <v>47</v>
      </c>
      <c r="J131" s="2">
        <v>1</v>
      </c>
      <c r="K131" s="3">
        <v>8.19</v>
      </c>
      <c r="L131" s="3">
        <v>8.19</v>
      </c>
      <c r="M131" s="4">
        <v>0</v>
      </c>
      <c r="N131" s="3">
        <v>0</v>
      </c>
      <c r="O131" s="3">
        <v>8.19</v>
      </c>
      <c r="P131" s="3">
        <v>3.1</v>
      </c>
      <c r="Q131" s="3">
        <v>5.09</v>
      </c>
      <c r="R131" s="2" t="s">
        <v>96</v>
      </c>
      <c r="S131" s="2" t="s">
        <v>36</v>
      </c>
      <c r="T131" s="2" t="s">
        <v>30</v>
      </c>
      <c r="U131" s="2">
        <v>1</v>
      </c>
    </row>
    <row r="132" spans="1:21" x14ac:dyDescent="0.25">
      <c r="A132" s="2" t="s">
        <v>336</v>
      </c>
      <c r="B132" s="2" t="s">
        <v>337</v>
      </c>
      <c r="C132" s="2" t="str">
        <f>TEXT(TransactionsTable500[[#This Row],[Order Date]],"mmm")</f>
        <v>Jun</v>
      </c>
      <c r="D132" s="2" t="s">
        <v>165</v>
      </c>
      <c r="E132" s="2" t="s">
        <v>61</v>
      </c>
      <c r="F132" s="2" t="s">
        <v>62</v>
      </c>
      <c r="G132" s="2" t="s">
        <v>130</v>
      </c>
      <c r="H132" s="2" t="s">
        <v>72</v>
      </c>
      <c r="I132" s="2" t="s">
        <v>58</v>
      </c>
      <c r="J132" s="2">
        <v>3</v>
      </c>
      <c r="K132" s="3">
        <v>15.09</v>
      </c>
      <c r="L132" s="3">
        <v>45.27</v>
      </c>
      <c r="M132" s="4">
        <v>0</v>
      </c>
      <c r="N132" s="3">
        <v>0</v>
      </c>
      <c r="O132" s="3">
        <v>45.27</v>
      </c>
      <c r="P132" s="3">
        <v>16.68</v>
      </c>
      <c r="Q132" s="3">
        <v>28.59</v>
      </c>
      <c r="R132" s="2" t="s">
        <v>96</v>
      </c>
      <c r="S132" s="2" t="s">
        <v>29</v>
      </c>
      <c r="T132" s="2" t="s">
        <v>30</v>
      </c>
      <c r="U132" s="2">
        <v>5</v>
      </c>
    </row>
    <row r="133" spans="1:21" x14ac:dyDescent="0.25">
      <c r="A133" s="2" t="s">
        <v>338</v>
      </c>
      <c r="B133" s="2" t="s">
        <v>337</v>
      </c>
      <c r="C133" s="2" t="str">
        <f>TEXT(TransactionsTable500[[#This Row],[Order Date]],"mmm")</f>
        <v>Jun</v>
      </c>
      <c r="D133" s="2" t="s">
        <v>127</v>
      </c>
      <c r="E133" s="2" t="s">
        <v>23</v>
      </c>
      <c r="F133" s="2" t="s">
        <v>24</v>
      </c>
      <c r="G133" s="2" t="s">
        <v>25</v>
      </c>
      <c r="H133" s="2" t="s">
        <v>72</v>
      </c>
      <c r="I133" s="2" t="s">
        <v>58</v>
      </c>
      <c r="J133" s="2">
        <v>1</v>
      </c>
      <c r="K133" s="3">
        <v>15.55</v>
      </c>
      <c r="L133" s="3">
        <v>15.55</v>
      </c>
      <c r="M133" s="4">
        <v>0</v>
      </c>
      <c r="N133" s="3">
        <v>0</v>
      </c>
      <c r="O133" s="3">
        <v>15.55</v>
      </c>
      <c r="P133" s="3">
        <v>5.44</v>
      </c>
      <c r="Q133" s="3">
        <v>10.11</v>
      </c>
      <c r="R133" s="2" t="s">
        <v>28</v>
      </c>
      <c r="S133" s="2" t="s">
        <v>66</v>
      </c>
      <c r="T133" s="2" t="s">
        <v>37</v>
      </c>
      <c r="U133" s="2">
        <v>1</v>
      </c>
    </row>
    <row r="134" spans="1:21" x14ac:dyDescent="0.25">
      <c r="A134" s="2" t="s">
        <v>339</v>
      </c>
      <c r="B134" s="2" t="s">
        <v>340</v>
      </c>
      <c r="C134" s="2" t="str">
        <f>TEXT(TransactionsTable500[[#This Row],[Order Date]],"mmm")</f>
        <v>Jun</v>
      </c>
      <c r="D134" s="2" t="s">
        <v>69</v>
      </c>
      <c r="E134" s="2" t="s">
        <v>70</v>
      </c>
      <c r="F134" s="2" t="s">
        <v>44</v>
      </c>
      <c r="G134" s="2" t="s">
        <v>71</v>
      </c>
      <c r="H134" s="2" t="s">
        <v>103</v>
      </c>
      <c r="I134" s="2" t="s">
        <v>27</v>
      </c>
      <c r="J134" s="2">
        <v>1</v>
      </c>
      <c r="K134" s="3">
        <v>5.07</v>
      </c>
      <c r="L134" s="3">
        <v>5.07</v>
      </c>
      <c r="M134" s="4">
        <v>0</v>
      </c>
      <c r="N134" s="3">
        <v>0</v>
      </c>
      <c r="O134" s="3">
        <v>5.07</v>
      </c>
      <c r="P134" s="3">
        <v>2.0299999999999998</v>
      </c>
      <c r="Q134" s="3">
        <v>3.04</v>
      </c>
      <c r="R134" s="2" t="s">
        <v>96</v>
      </c>
      <c r="S134" s="2" t="s">
        <v>66</v>
      </c>
      <c r="T134" s="2" t="s">
        <v>37</v>
      </c>
      <c r="U134" s="2">
        <v>4</v>
      </c>
    </row>
    <row r="135" spans="1:21" x14ac:dyDescent="0.25">
      <c r="A135" s="2" t="s">
        <v>341</v>
      </c>
      <c r="B135" s="2" t="s">
        <v>340</v>
      </c>
      <c r="C135" s="2" t="str">
        <f>TEXT(TransactionsTable500[[#This Row],[Order Date]],"mmm")</f>
        <v>Jun</v>
      </c>
      <c r="D135" s="2" t="s">
        <v>80</v>
      </c>
      <c r="E135" s="2" t="s">
        <v>23</v>
      </c>
      <c r="F135" s="2" t="s">
        <v>24</v>
      </c>
      <c r="G135" s="2" t="s">
        <v>81</v>
      </c>
      <c r="H135" s="2" t="s">
        <v>122</v>
      </c>
      <c r="I135" s="2" t="s">
        <v>47</v>
      </c>
      <c r="J135" s="2">
        <v>1</v>
      </c>
      <c r="K135" s="3">
        <v>7.05</v>
      </c>
      <c r="L135" s="3">
        <v>7.05</v>
      </c>
      <c r="M135" s="4">
        <v>0</v>
      </c>
      <c r="N135" s="3">
        <v>0</v>
      </c>
      <c r="O135" s="3">
        <v>7.05</v>
      </c>
      <c r="P135" s="3">
        <v>2.59</v>
      </c>
      <c r="Q135" s="3">
        <v>4.46</v>
      </c>
      <c r="R135" s="2" t="s">
        <v>48</v>
      </c>
      <c r="S135" s="2" t="s">
        <v>87</v>
      </c>
      <c r="T135" s="2" t="s">
        <v>30</v>
      </c>
      <c r="U135" s="2">
        <v>4</v>
      </c>
    </row>
    <row r="136" spans="1:21" x14ac:dyDescent="0.25">
      <c r="A136" s="2" t="s">
        <v>342</v>
      </c>
      <c r="B136" s="2" t="s">
        <v>343</v>
      </c>
      <c r="C136" s="2" t="str">
        <f>TEXT(TransactionsTable500[[#This Row],[Order Date]],"mmm")</f>
        <v>Jun</v>
      </c>
      <c r="D136" s="2" t="s">
        <v>42</v>
      </c>
      <c r="E136" s="2" t="s">
        <v>43</v>
      </c>
      <c r="F136" s="2" t="s">
        <v>44</v>
      </c>
      <c r="G136" s="2" t="s">
        <v>45</v>
      </c>
      <c r="H136" s="2" t="s">
        <v>231</v>
      </c>
      <c r="I136" s="2" t="s">
        <v>100</v>
      </c>
      <c r="J136" s="2">
        <v>2</v>
      </c>
      <c r="K136" s="3">
        <v>4.57</v>
      </c>
      <c r="L136" s="3">
        <v>9.14</v>
      </c>
      <c r="M136" s="4">
        <v>0</v>
      </c>
      <c r="N136" s="3">
        <v>0</v>
      </c>
      <c r="O136" s="3">
        <v>9.14</v>
      </c>
      <c r="P136" s="3">
        <v>3.8</v>
      </c>
      <c r="Q136" s="3">
        <v>5.34</v>
      </c>
      <c r="R136" s="2" t="s">
        <v>96</v>
      </c>
      <c r="S136" s="2" t="s">
        <v>87</v>
      </c>
      <c r="T136" s="2" t="s">
        <v>37</v>
      </c>
      <c r="U136" s="2">
        <v>4</v>
      </c>
    </row>
    <row r="137" spans="1:21" x14ac:dyDescent="0.25">
      <c r="A137" s="2" t="s">
        <v>344</v>
      </c>
      <c r="B137" s="2" t="s">
        <v>345</v>
      </c>
      <c r="C137" s="2" t="str">
        <f>TEXT(TransactionsTable500[[#This Row],[Order Date]],"mmm")</f>
        <v>Jun</v>
      </c>
      <c r="D137" s="2" t="s">
        <v>60</v>
      </c>
      <c r="E137" s="2" t="s">
        <v>61</v>
      </c>
      <c r="F137" s="2" t="s">
        <v>62</v>
      </c>
      <c r="G137" s="2" t="s">
        <v>63</v>
      </c>
      <c r="H137" s="2" t="s">
        <v>57</v>
      </c>
      <c r="I137" s="2" t="s">
        <v>58</v>
      </c>
      <c r="J137" s="2">
        <v>1</v>
      </c>
      <c r="K137" s="3">
        <v>9.0399999999999991</v>
      </c>
      <c r="L137" s="3">
        <v>9.0399999999999991</v>
      </c>
      <c r="M137" s="4">
        <v>0.15</v>
      </c>
      <c r="N137" s="3">
        <v>1.36</v>
      </c>
      <c r="O137" s="3">
        <v>7.68</v>
      </c>
      <c r="P137" s="3">
        <v>3.06</v>
      </c>
      <c r="Q137" s="3">
        <v>4.62</v>
      </c>
      <c r="R137" s="2" t="s">
        <v>28</v>
      </c>
      <c r="S137" s="2" t="s">
        <v>66</v>
      </c>
      <c r="T137" s="2" t="s">
        <v>90</v>
      </c>
      <c r="U137" s="2">
        <v>5</v>
      </c>
    </row>
    <row r="138" spans="1:21" x14ac:dyDescent="0.25">
      <c r="A138" s="2" t="s">
        <v>346</v>
      </c>
      <c r="B138" s="2" t="s">
        <v>347</v>
      </c>
      <c r="C138" s="2" t="str">
        <f>TEXT(TransactionsTable500[[#This Row],[Order Date]],"mmm")</f>
        <v>Jun</v>
      </c>
      <c r="D138" s="2" t="s">
        <v>216</v>
      </c>
      <c r="E138" s="2" t="s">
        <v>61</v>
      </c>
      <c r="F138" s="2" t="s">
        <v>62</v>
      </c>
      <c r="G138" s="2" t="s">
        <v>217</v>
      </c>
      <c r="H138" s="2" t="s">
        <v>112</v>
      </c>
      <c r="I138" s="2" t="s">
        <v>100</v>
      </c>
      <c r="J138" s="2">
        <v>3</v>
      </c>
      <c r="K138" s="3">
        <v>3.64</v>
      </c>
      <c r="L138" s="3">
        <v>10.92</v>
      </c>
      <c r="M138" s="4">
        <v>0</v>
      </c>
      <c r="N138" s="3">
        <v>0</v>
      </c>
      <c r="O138" s="3">
        <v>10.92</v>
      </c>
      <c r="P138" s="3">
        <v>3.57</v>
      </c>
      <c r="Q138" s="3">
        <v>7.35</v>
      </c>
      <c r="R138" s="2" t="s">
        <v>48</v>
      </c>
      <c r="S138" s="2" t="s">
        <v>87</v>
      </c>
      <c r="T138" s="2" t="s">
        <v>30</v>
      </c>
      <c r="U138" s="2">
        <v>4</v>
      </c>
    </row>
    <row r="139" spans="1:21" x14ac:dyDescent="0.25">
      <c r="A139" s="2" t="s">
        <v>348</v>
      </c>
      <c r="B139" s="2" t="s">
        <v>347</v>
      </c>
      <c r="C139" s="2" t="str">
        <f>TEXT(TransactionsTable500[[#This Row],[Order Date]],"mmm")</f>
        <v>Jun</v>
      </c>
      <c r="D139" s="2" t="s">
        <v>105</v>
      </c>
      <c r="E139" s="2" t="s">
        <v>61</v>
      </c>
      <c r="F139" s="2" t="s">
        <v>62</v>
      </c>
      <c r="G139" s="2" t="s">
        <v>85</v>
      </c>
      <c r="H139" s="2" t="s">
        <v>72</v>
      </c>
      <c r="I139" s="2" t="s">
        <v>58</v>
      </c>
      <c r="J139" s="2">
        <v>2</v>
      </c>
      <c r="K139" s="3">
        <v>15.16</v>
      </c>
      <c r="L139" s="3">
        <v>30.32</v>
      </c>
      <c r="M139" s="4">
        <v>0.15</v>
      </c>
      <c r="N139" s="3">
        <v>4.55</v>
      </c>
      <c r="O139" s="3">
        <v>25.77</v>
      </c>
      <c r="P139" s="3">
        <v>10.57</v>
      </c>
      <c r="Q139" s="3">
        <v>15.2</v>
      </c>
      <c r="R139" s="2" t="s">
        <v>28</v>
      </c>
      <c r="S139" s="2" t="s">
        <v>36</v>
      </c>
      <c r="T139" s="2" t="s">
        <v>90</v>
      </c>
      <c r="U139" s="2">
        <v>5</v>
      </c>
    </row>
    <row r="140" spans="1:21" x14ac:dyDescent="0.25">
      <c r="A140" s="2" t="s">
        <v>349</v>
      </c>
      <c r="B140" s="2" t="s">
        <v>347</v>
      </c>
      <c r="C140" s="2" t="str">
        <f>TEXT(TransactionsTable500[[#This Row],[Order Date]],"mmm")</f>
        <v>Jun</v>
      </c>
      <c r="D140" s="2" t="s">
        <v>55</v>
      </c>
      <c r="E140" s="2" t="s">
        <v>43</v>
      </c>
      <c r="F140" s="2" t="s">
        <v>44</v>
      </c>
      <c r="G140" s="2" t="s">
        <v>56</v>
      </c>
      <c r="H140" s="2" t="s">
        <v>140</v>
      </c>
      <c r="I140" s="2" t="s">
        <v>58</v>
      </c>
      <c r="J140" s="2">
        <v>1</v>
      </c>
      <c r="K140" s="3">
        <v>12.43</v>
      </c>
      <c r="L140" s="3">
        <v>12.43</v>
      </c>
      <c r="M140" s="4">
        <v>0</v>
      </c>
      <c r="N140" s="3">
        <v>0</v>
      </c>
      <c r="O140" s="3">
        <v>12.43</v>
      </c>
      <c r="P140" s="3">
        <v>4.57</v>
      </c>
      <c r="Q140" s="3">
        <v>7.86</v>
      </c>
      <c r="R140" s="2" t="s">
        <v>28</v>
      </c>
      <c r="S140" s="2" t="s">
        <v>36</v>
      </c>
      <c r="T140" s="2" t="s">
        <v>30</v>
      </c>
      <c r="U140" s="2">
        <v>5</v>
      </c>
    </row>
    <row r="141" spans="1:21" x14ac:dyDescent="0.25">
      <c r="A141" s="2" t="s">
        <v>350</v>
      </c>
      <c r="B141" s="2" t="s">
        <v>351</v>
      </c>
      <c r="C141" s="2" t="str">
        <f>TEXT(TransactionsTable500[[#This Row],[Order Date]],"mmm")</f>
        <v>Jul</v>
      </c>
      <c r="D141" s="2" t="s">
        <v>42</v>
      </c>
      <c r="E141" s="2" t="s">
        <v>43</v>
      </c>
      <c r="F141" s="2" t="s">
        <v>44</v>
      </c>
      <c r="G141" s="2" t="s">
        <v>45</v>
      </c>
      <c r="H141" s="2" t="s">
        <v>106</v>
      </c>
      <c r="I141" s="2" t="s">
        <v>100</v>
      </c>
      <c r="J141" s="2">
        <v>2</v>
      </c>
      <c r="K141" s="3">
        <v>3.46</v>
      </c>
      <c r="L141" s="3">
        <v>6.92</v>
      </c>
      <c r="M141" s="4">
        <v>0</v>
      </c>
      <c r="N141" s="3">
        <v>0</v>
      </c>
      <c r="O141" s="3">
        <v>6.92</v>
      </c>
      <c r="P141" s="3">
        <v>2.77</v>
      </c>
      <c r="Q141" s="3">
        <v>4.1500000000000004</v>
      </c>
      <c r="R141" s="2" t="s">
        <v>96</v>
      </c>
      <c r="S141" s="2" t="s">
        <v>29</v>
      </c>
      <c r="T141" s="2" t="s">
        <v>37</v>
      </c>
      <c r="U141" s="2">
        <v>5</v>
      </c>
    </row>
    <row r="142" spans="1:21" x14ac:dyDescent="0.25">
      <c r="A142" s="2" t="s">
        <v>352</v>
      </c>
      <c r="B142" s="2" t="s">
        <v>353</v>
      </c>
      <c r="C142" s="2" t="str">
        <f>TEXT(TransactionsTable500[[#This Row],[Order Date]],"mmm")</f>
        <v>Jul</v>
      </c>
      <c r="D142" s="2" t="s">
        <v>118</v>
      </c>
      <c r="E142" s="2" t="s">
        <v>119</v>
      </c>
      <c r="F142" s="2" t="s">
        <v>24</v>
      </c>
      <c r="G142" s="2" t="s">
        <v>120</v>
      </c>
      <c r="H142" s="2" t="s">
        <v>169</v>
      </c>
      <c r="I142" s="2" t="s">
        <v>65</v>
      </c>
      <c r="J142" s="2">
        <v>4</v>
      </c>
      <c r="K142" s="3">
        <v>3.29</v>
      </c>
      <c r="L142" s="3">
        <v>13.16</v>
      </c>
      <c r="M142" s="4">
        <v>0.05</v>
      </c>
      <c r="N142" s="3">
        <v>0.66</v>
      </c>
      <c r="O142" s="3">
        <v>12.5</v>
      </c>
      <c r="P142" s="3">
        <v>4.34</v>
      </c>
      <c r="Q142" s="3">
        <v>8.16</v>
      </c>
      <c r="R142" s="2" t="s">
        <v>48</v>
      </c>
      <c r="S142" s="2" t="s">
        <v>29</v>
      </c>
      <c r="T142" s="2" t="s">
        <v>30</v>
      </c>
      <c r="U142" s="2">
        <v>5</v>
      </c>
    </row>
    <row r="143" spans="1:21" x14ac:dyDescent="0.25">
      <c r="A143" s="2" t="s">
        <v>354</v>
      </c>
      <c r="B143" s="2" t="s">
        <v>353</v>
      </c>
      <c r="C143" s="2" t="str">
        <f>TEXT(TransactionsTable500[[#This Row],[Order Date]],"mmm")</f>
        <v>Jul</v>
      </c>
      <c r="D143" s="2" t="s">
        <v>165</v>
      </c>
      <c r="E143" s="2" t="s">
        <v>61</v>
      </c>
      <c r="F143" s="2" t="s">
        <v>62</v>
      </c>
      <c r="G143" s="2" t="s">
        <v>130</v>
      </c>
      <c r="H143" s="2" t="s">
        <v>112</v>
      </c>
      <c r="I143" s="2" t="s">
        <v>100</v>
      </c>
      <c r="J143" s="2">
        <v>1</v>
      </c>
      <c r="K143" s="3">
        <v>3.88</v>
      </c>
      <c r="L143" s="3">
        <v>3.88</v>
      </c>
      <c r="M143" s="4">
        <v>0</v>
      </c>
      <c r="N143" s="3">
        <v>0</v>
      </c>
      <c r="O143" s="3">
        <v>3.88</v>
      </c>
      <c r="P143" s="3">
        <v>1.3</v>
      </c>
      <c r="Q143" s="3">
        <v>2.58</v>
      </c>
      <c r="R143" s="2" t="s">
        <v>28</v>
      </c>
      <c r="S143" s="2" t="s">
        <v>66</v>
      </c>
      <c r="T143" s="2" t="s">
        <v>30</v>
      </c>
      <c r="U143" s="2">
        <v>4</v>
      </c>
    </row>
    <row r="144" spans="1:21" x14ac:dyDescent="0.25">
      <c r="A144" s="2" t="s">
        <v>355</v>
      </c>
      <c r="B144" s="2" t="s">
        <v>356</v>
      </c>
      <c r="C144" s="2" t="str">
        <f>TEXT(TransactionsTable500[[#This Row],[Order Date]],"mmm")</f>
        <v>Jul</v>
      </c>
      <c r="D144" s="2" t="s">
        <v>199</v>
      </c>
      <c r="E144" s="2" t="s">
        <v>70</v>
      </c>
      <c r="F144" s="2" t="s">
        <v>44</v>
      </c>
      <c r="G144" s="2" t="s">
        <v>200</v>
      </c>
      <c r="H144" s="2" t="s">
        <v>46</v>
      </c>
      <c r="I144" s="2" t="s">
        <v>47</v>
      </c>
      <c r="J144" s="2">
        <v>1</v>
      </c>
      <c r="K144" s="3">
        <v>8.19</v>
      </c>
      <c r="L144" s="3">
        <v>8.19</v>
      </c>
      <c r="M144" s="4">
        <v>0</v>
      </c>
      <c r="N144" s="3">
        <v>0</v>
      </c>
      <c r="O144" s="3">
        <v>8.19</v>
      </c>
      <c r="P144" s="3">
        <v>2.83</v>
      </c>
      <c r="Q144" s="3">
        <v>5.36</v>
      </c>
      <c r="R144" s="2" t="s">
        <v>96</v>
      </c>
      <c r="S144" s="2" t="s">
        <v>29</v>
      </c>
      <c r="T144" s="2" t="s">
        <v>37</v>
      </c>
      <c r="U144" s="2">
        <v>5</v>
      </c>
    </row>
    <row r="145" spans="1:21" x14ac:dyDescent="0.25">
      <c r="A145" s="2" t="s">
        <v>357</v>
      </c>
      <c r="B145" s="2" t="s">
        <v>356</v>
      </c>
      <c r="C145" s="2" t="str">
        <f>TEXT(TransactionsTable500[[#This Row],[Order Date]],"mmm")</f>
        <v>Jul</v>
      </c>
      <c r="D145" s="2" t="s">
        <v>60</v>
      </c>
      <c r="E145" s="2" t="s">
        <v>61</v>
      </c>
      <c r="F145" s="2" t="s">
        <v>62</v>
      </c>
      <c r="G145" s="2" t="s">
        <v>63</v>
      </c>
      <c r="H145" s="2" t="s">
        <v>122</v>
      </c>
      <c r="I145" s="2" t="s">
        <v>47</v>
      </c>
      <c r="J145" s="2">
        <v>5</v>
      </c>
      <c r="K145" s="3">
        <v>7.21</v>
      </c>
      <c r="L145" s="3">
        <v>36.049999999999997</v>
      </c>
      <c r="M145" s="4">
        <v>0</v>
      </c>
      <c r="N145" s="3">
        <v>0</v>
      </c>
      <c r="O145" s="3">
        <v>36.049999999999997</v>
      </c>
      <c r="P145" s="3">
        <v>13.68</v>
      </c>
      <c r="Q145" s="3">
        <v>22.37</v>
      </c>
      <c r="R145" s="2" t="s">
        <v>48</v>
      </c>
      <c r="S145" s="2" t="s">
        <v>36</v>
      </c>
      <c r="T145" s="2" t="s">
        <v>90</v>
      </c>
      <c r="U145" s="2">
        <v>5</v>
      </c>
    </row>
    <row r="146" spans="1:21" x14ac:dyDescent="0.25">
      <c r="A146" s="2" t="s">
        <v>358</v>
      </c>
      <c r="B146" s="2" t="s">
        <v>359</v>
      </c>
      <c r="C146" s="2" t="str">
        <f>TEXT(TransactionsTable500[[#This Row],[Order Date]],"mmm")</f>
        <v>Jul</v>
      </c>
      <c r="D146" s="2" t="s">
        <v>95</v>
      </c>
      <c r="E146" s="2" t="s">
        <v>23</v>
      </c>
      <c r="F146" s="2" t="s">
        <v>24</v>
      </c>
      <c r="G146" s="2" t="s">
        <v>52</v>
      </c>
      <c r="H146" s="2" t="s">
        <v>157</v>
      </c>
      <c r="I146" s="2" t="s">
        <v>47</v>
      </c>
      <c r="J146" s="2">
        <v>1</v>
      </c>
      <c r="K146" s="3">
        <v>7.68</v>
      </c>
      <c r="L146" s="3">
        <v>7.68</v>
      </c>
      <c r="M146" s="4">
        <v>0.05</v>
      </c>
      <c r="N146" s="3">
        <v>0.38</v>
      </c>
      <c r="O146" s="3">
        <v>7.3</v>
      </c>
      <c r="P146" s="3">
        <v>2.86</v>
      </c>
      <c r="Q146" s="3">
        <v>4.4400000000000004</v>
      </c>
      <c r="R146" s="2" t="s">
        <v>48</v>
      </c>
      <c r="S146" s="2" t="s">
        <v>66</v>
      </c>
      <c r="T146" s="2" t="s">
        <v>37</v>
      </c>
      <c r="U146" s="2">
        <v>4</v>
      </c>
    </row>
    <row r="147" spans="1:21" x14ac:dyDescent="0.25">
      <c r="A147" s="2" t="s">
        <v>360</v>
      </c>
      <c r="B147" s="2" t="s">
        <v>359</v>
      </c>
      <c r="C147" s="2" t="str">
        <f>TEXT(TransactionsTable500[[#This Row],[Order Date]],"mmm")</f>
        <v>Jul</v>
      </c>
      <c r="D147" s="2" t="s">
        <v>75</v>
      </c>
      <c r="E147" s="2" t="s">
        <v>70</v>
      </c>
      <c r="F147" s="2" t="s">
        <v>44</v>
      </c>
      <c r="G147" s="2" t="s">
        <v>76</v>
      </c>
      <c r="H147" s="2" t="s">
        <v>77</v>
      </c>
      <c r="I147" s="2" t="s">
        <v>47</v>
      </c>
      <c r="J147" s="2">
        <v>2</v>
      </c>
      <c r="K147" s="3">
        <v>6.27</v>
      </c>
      <c r="L147" s="3">
        <v>12.54</v>
      </c>
      <c r="M147" s="4">
        <v>0</v>
      </c>
      <c r="N147" s="3">
        <v>0</v>
      </c>
      <c r="O147" s="3">
        <v>12.54</v>
      </c>
      <c r="P147" s="3">
        <v>4.59</v>
      </c>
      <c r="Q147" s="3">
        <v>7.95</v>
      </c>
      <c r="R147" s="2" t="s">
        <v>48</v>
      </c>
      <c r="S147" s="2" t="s">
        <v>29</v>
      </c>
      <c r="T147" s="2" t="s">
        <v>37</v>
      </c>
      <c r="U147" s="2">
        <v>5</v>
      </c>
    </row>
    <row r="148" spans="1:21" x14ac:dyDescent="0.25">
      <c r="A148" s="2" t="s">
        <v>361</v>
      </c>
      <c r="B148" s="2" t="s">
        <v>362</v>
      </c>
      <c r="C148" s="2" t="str">
        <f>TEXT(TransactionsTable500[[#This Row],[Order Date]],"mmm")</f>
        <v>Jul</v>
      </c>
      <c r="D148" s="2" t="s">
        <v>95</v>
      </c>
      <c r="E148" s="2" t="s">
        <v>23</v>
      </c>
      <c r="F148" s="2" t="s">
        <v>24</v>
      </c>
      <c r="G148" s="2" t="s">
        <v>52</v>
      </c>
      <c r="H148" s="2" t="s">
        <v>46</v>
      </c>
      <c r="I148" s="2" t="s">
        <v>47</v>
      </c>
      <c r="J148" s="2">
        <v>1</v>
      </c>
      <c r="K148" s="3">
        <v>7.99</v>
      </c>
      <c r="L148" s="3">
        <v>7.99</v>
      </c>
      <c r="M148" s="4">
        <v>0</v>
      </c>
      <c r="N148" s="3">
        <v>0</v>
      </c>
      <c r="O148" s="3">
        <v>7.99</v>
      </c>
      <c r="P148" s="3">
        <v>3.01</v>
      </c>
      <c r="Q148" s="3">
        <v>4.9800000000000004</v>
      </c>
      <c r="R148" s="2" t="s">
        <v>48</v>
      </c>
      <c r="S148" s="2" t="s">
        <v>29</v>
      </c>
      <c r="T148" s="2" t="s">
        <v>30</v>
      </c>
      <c r="U148" s="2">
        <v>1</v>
      </c>
    </row>
    <row r="149" spans="1:21" x14ac:dyDescent="0.25">
      <c r="A149" s="2" t="s">
        <v>363</v>
      </c>
      <c r="B149" s="2" t="s">
        <v>364</v>
      </c>
      <c r="C149" s="2" t="str">
        <f>TEXT(TransactionsTable500[[#This Row],[Order Date]],"mmm")</f>
        <v>Jul</v>
      </c>
      <c r="D149" s="2" t="s">
        <v>212</v>
      </c>
      <c r="E149" s="2" t="s">
        <v>184</v>
      </c>
      <c r="F149" s="2" t="s">
        <v>62</v>
      </c>
      <c r="G149" s="2" t="s">
        <v>213</v>
      </c>
      <c r="H149" s="2" t="s">
        <v>106</v>
      </c>
      <c r="I149" s="2" t="s">
        <v>100</v>
      </c>
      <c r="J149" s="2">
        <v>1</v>
      </c>
      <c r="K149" s="3">
        <v>3.44</v>
      </c>
      <c r="L149" s="3">
        <v>3.44</v>
      </c>
      <c r="M149" s="4">
        <v>0</v>
      </c>
      <c r="N149" s="3">
        <v>0</v>
      </c>
      <c r="O149" s="3">
        <v>3.44</v>
      </c>
      <c r="P149" s="3">
        <v>1.29</v>
      </c>
      <c r="Q149" s="3">
        <v>2.15</v>
      </c>
      <c r="R149" s="2" t="s">
        <v>28</v>
      </c>
      <c r="S149" s="2" t="s">
        <v>66</v>
      </c>
      <c r="T149" s="2" t="s">
        <v>37</v>
      </c>
      <c r="U149" s="2">
        <v>5</v>
      </c>
    </row>
    <row r="150" spans="1:21" x14ac:dyDescent="0.25">
      <c r="A150" s="2" t="s">
        <v>365</v>
      </c>
      <c r="B150" s="2" t="s">
        <v>366</v>
      </c>
      <c r="C150" s="2" t="str">
        <f>TEXT(TransactionsTable500[[#This Row],[Order Date]],"mmm")</f>
        <v>Jul</v>
      </c>
      <c r="D150" s="2" t="s">
        <v>105</v>
      </c>
      <c r="E150" s="2" t="s">
        <v>61</v>
      </c>
      <c r="F150" s="2" t="s">
        <v>62</v>
      </c>
      <c r="G150" s="2" t="s">
        <v>85</v>
      </c>
      <c r="H150" s="2" t="s">
        <v>77</v>
      </c>
      <c r="I150" s="2" t="s">
        <v>47</v>
      </c>
      <c r="J150" s="2">
        <v>2</v>
      </c>
      <c r="K150" s="3">
        <v>6.22</v>
      </c>
      <c r="L150" s="3">
        <v>12.44</v>
      </c>
      <c r="M150" s="4">
        <v>0</v>
      </c>
      <c r="N150" s="3">
        <v>0</v>
      </c>
      <c r="O150" s="3">
        <v>12.44</v>
      </c>
      <c r="P150" s="3">
        <v>4.88</v>
      </c>
      <c r="Q150" s="3">
        <v>7.56</v>
      </c>
      <c r="R150" s="2" t="s">
        <v>48</v>
      </c>
      <c r="S150" s="2" t="s">
        <v>66</v>
      </c>
      <c r="T150" s="2" t="s">
        <v>30</v>
      </c>
      <c r="U150" s="2">
        <v>4</v>
      </c>
    </row>
    <row r="151" spans="1:21" x14ac:dyDescent="0.25">
      <c r="A151" s="2" t="s">
        <v>367</v>
      </c>
      <c r="B151" s="2" t="s">
        <v>368</v>
      </c>
      <c r="C151" s="2" t="str">
        <f>TEXT(TransactionsTable500[[#This Row],[Order Date]],"mmm")</f>
        <v>Jul</v>
      </c>
      <c r="D151" s="2" t="s">
        <v>22</v>
      </c>
      <c r="E151" s="2" t="s">
        <v>23</v>
      </c>
      <c r="F151" s="2" t="s">
        <v>24</v>
      </c>
      <c r="G151" s="2" t="s">
        <v>25</v>
      </c>
      <c r="H151" s="2" t="s">
        <v>53</v>
      </c>
      <c r="I151" s="2" t="s">
        <v>27</v>
      </c>
      <c r="J151" s="2">
        <v>1</v>
      </c>
      <c r="K151" s="3">
        <v>4.04</v>
      </c>
      <c r="L151" s="3">
        <v>4.04</v>
      </c>
      <c r="M151" s="4">
        <v>0.15</v>
      </c>
      <c r="N151" s="3">
        <v>0.61</v>
      </c>
      <c r="O151" s="3">
        <v>3.43</v>
      </c>
      <c r="P151" s="3">
        <v>1.21</v>
      </c>
      <c r="Q151" s="3">
        <v>2.2200000000000002</v>
      </c>
      <c r="R151" s="2" t="s">
        <v>48</v>
      </c>
      <c r="S151" s="2" t="s">
        <v>29</v>
      </c>
      <c r="T151" s="2" t="s">
        <v>37</v>
      </c>
      <c r="U151" s="2">
        <v>4</v>
      </c>
    </row>
    <row r="152" spans="1:21" x14ac:dyDescent="0.25">
      <c r="A152" s="2" t="s">
        <v>369</v>
      </c>
      <c r="B152" s="2" t="s">
        <v>370</v>
      </c>
      <c r="C152" s="2" t="str">
        <f>TEXT(TransactionsTable500[[#This Row],[Order Date]],"mmm")</f>
        <v>Jul</v>
      </c>
      <c r="D152" s="2" t="s">
        <v>80</v>
      </c>
      <c r="E152" s="2" t="s">
        <v>23</v>
      </c>
      <c r="F152" s="2" t="s">
        <v>24</v>
      </c>
      <c r="G152" s="2" t="s">
        <v>81</v>
      </c>
      <c r="H152" s="2" t="s">
        <v>77</v>
      </c>
      <c r="I152" s="2" t="s">
        <v>47</v>
      </c>
      <c r="J152" s="2">
        <v>2</v>
      </c>
      <c r="K152" s="3">
        <v>6.29</v>
      </c>
      <c r="L152" s="3">
        <v>12.58</v>
      </c>
      <c r="M152" s="4">
        <v>0.1</v>
      </c>
      <c r="N152" s="3">
        <v>1.26</v>
      </c>
      <c r="O152" s="3">
        <v>11.32</v>
      </c>
      <c r="P152" s="3">
        <v>3.77</v>
      </c>
      <c r="Q152" s="3">
        <v>7.55</v>
      </c>
      <c r="R152" s="2" t="s">
        <v>28</v>
      </c>
      <c r="S152" s="2" t="s">
        <v>29</v>
      </c>
      <c r="T152" s="2" t="s">
        <v>30</v>
      </c>
      <c r="U152" s="2">
        <v>5</v>
      </c>
    </row>
    <row r="153" spans="1:21" x14ac:dyDescent="0.25">
      <c r="A153" s="2" t="s">
        <v>371</v>
      </c>
      <c r="B153" s="2" t="s">
        <v>372</v>
      </c>
      <c r="C153" s="2" t="str">
        <f>TEXT(TransactionsTable500[[#This Row],[Order Date]],"mmm")</f>
        <v>Jul</v>
      </c>
      <c r="D153" s="2" t="s">
        <v>60</v>
      </c>
      <c r="E153" s="2" t="s">
        <v>61</v>
      </c>
      <c r="F153" s="2" t="s">
        <v>62</v>
      </c>
      <c r="G153" s="2" t="s">
        <v>63</v>
      </c>
      <c r="H153" s="2" t="s">
        <v>228</v>
      </c>
      <c r="I153" s="2" t="s">
        <v>65</v>
      </c>
      <c r="J153" s="2">
        <v>1</v>
      </c>
      <c r="K153" s="3">
        <v>3.3</v>
      </c>
      <c r="L153" s="3">
        <v>3.3</v>
      </c>
      <c r="M153" s="4">
        <v>0</v>
      </c>
      <c r="N153" s="3">
        <v>0</v>
      </c>
      <c r="O153" s="3">
        <v>3.3</v>
      </c>
      <c r="P153" s="3">
        <v>1.1100000000000001</v>
      </c>
      <c r="Q153" s="3">
        <v>2.19</v>
      </c>
      <c r="R153" s="2" t="s">
        <v>28</v>
      </c>
      <c r="S153" s="2" t="s">
        <v>29</v>
      </c>
      <c r="T153" s="2" t="s">
        <v>37</v>
      </c>
      <c r="U153" s="2">
        <v>3</v>
      </c>
    </row>
    <row r="154" spans="1:21" x14ac:dyDescent="0.25">
      <c r="A154" s="2" t="s">
        <v>373</v>
      </c>
      <c r="B154" s="2" t="s">
        <v>374</v>
      </c>
      <c r="C154" s="2" t="str">
        <f>TEXT(TransactionsTable500[[#This Row],[Order Date]],"mmm")</f>
        <v>Jul</v>
      </c>
      <c r="D154" s="2" t="s">
        <v>118</v>
      </c>
      <c r="E154" s="2" t="s">
        <v>119</v>
      </c>
      <c r="F154" s="2" t="s">
        <v>24</v>
      </c>
      <c r="G154" s="2" t="s">
        <v>120</v>
      </c>
      <c r="H154" s="2" t="s">
        <v>64</v>
      </c>
      <c r="I154" s="2" t="s">
        <v>65</v>
      </c>
      <c r="J154" s="2">
        <v>1</v>
      </c>
      <c r="K154" s="3">
        <v>2.4300000000000002</v>
      </c>
      <c r="L154" s="3">
        <v>2.4300000000000002</v>
      </c>
      <c r="M154" s="4">
        <v>0</v>
      </c>
      <c r="N154" s="3">
        <v>0</v>
      </c>
      <c r="O154" s="3">
        <v>2.4300000000000002</v>
      </c>
      <c r="P154" s="3">
        <v>0.81</v>
      </c>
      <c r="Q154" s="3">
        <v>1.62</v>
      </c>
      <c r="R154" s="2" t="s">
        <v>48</v>
      </c>
      <c r="S154" s="2" t="s">
        <v>66</v>
      </c>
      <c r="T154" s="2" t="s">
        <v>30</v>
      </c>
      <c r="U154" s="2">
        <v>5</v>
      </c>
    </row>
    <row r="155" spans="1:21" x14ac:dyDescent="0.25">
      <c r="A155" s="2" t="s">
        <v>375</v>
      </c>
      <c r="B155" s="2" t="s">
        <v>376</v>
      </c>
      <c r="C155" s="2" t="str">
        <f>TEXT(TransactionsTable500[[#This Row],[Order Date]],"mmm")</f>
        <v>Jul</v>
      </c>
      <c r="D155" s="2" t="s">
        <v>75</v>
      </c>
      <c r="E155" s="2" t="s">
        <v>70</v>
      </c>
      <c r="F155" s="2" t="s">
        <v>44</v>
      </c>
      <c r="G155" s="2" t="s">
        <v>76</v>
      </c>
      <c r="H155" s="2" t="s">
        <v>86</v>
      </c>
      <c r="I155" s="2" t="s">
        <v>27</v>
      </c>
      <c r="J155" s="2">
        <v>2</v>
      </c>
      <c r="K155" s="3">
        <v>4.83</v>
      </c>
      <c r="L155" s="3">
        <v>9.66</v>
      </c>
      <c r="M155" s="4">
        <v>0.05</v>
      </c>
      <c r="N155" s="3">
        <v>0.48</v>
      </c>
      <c r="O155" s="3">
        <v>9.18</v>
      </c>
      <c r="P155" s="3">
        <v>2.94</v>
      </c>
      <c r="Q155" s="3">
        <v>6.24</v>
      </c>
      <c r="R155" s="2" t="s">
        <v>28</v>
      </c>
      <c r="S155" s="2" t="s">
        <v>29</v>
      </c>
      <c r="T155" s="2" t="s">
        <v>37</v>
      </c>
      <c r="U155" s="2">
        <v>5</v>
      </c>
    </row>
    <row r="156" spans="1:21" x14ac:dyDescent="0.25">
      <c r="A156" s="2" t="s">
        <v>377</v>
      </c>
      <c r="B156" s="2" t="s">
        <v>378</v>
      </c>
      <c r="C156" s="2" t="str">
        <f>TEXT(TransactionsTable500[[#This Row],[Order Date]],"mmm")</f>
        <v>Jul</v>
      </c>
      <c r="D156" s="2" t="s">
        <v>270</v>
      </c>
      <c r="E156" s="2" t="s">
        <v>70</v>
      </c>
      <c r="F156" s="2" t="s">
        <v>44</v>
      </c>
      <c r="G156" s="2" t="s">
        <v>200</v>
      </c>
      <c r="H156" s="2" t="s">
        <v>228</v>
      </c>
      <c r="I156" s="2" t="s">
        <v>65</v>
      </c>
      <c r="J156" s="2">
        <v>1</v>
      </c>
      <c r="K156" s="3">
        <v>3.28</v>
      </c>
      <c r="L156" s="3">
        <v>3.28</v>
      </c>
      <c r="M156" s="4">
        <v>0</v>
      </c>
      <c r="N156" s="3">
        <v>0</v>
      </c>
      <c r="O156" s="3">
        <v>3.28</v>
      </c>
      <c r="P156" s="3">
        <v>1.25</v>
      </c>
      <c r="Q156" s="3">
        <v>2.0299999999999998</v>
      </c>
      <c r="R156" s="2" t="s">
        <v>96</v>
      </c>
      <c r="S156" s="2" t="s">
        <v>29</v>
      </c>
      <c r="T156" s="2" t="s">
        <v>30</v>
      </c>
      <c r="U156" s="2">
        <v>5</v>
      </c>
    </row>
    <row r="157" spans="1:21" x14ac:dyDescent="0.25">
      <c r="A157" s="2" t="s">
        <v>379</v>
      </c>
      <c r="B157" s="2" t="s">
        <v>378</v>
      </c>
      <c r="C157" s="2" t="str">
        <f>TEXT(TransactionsTable500[[#This Row],[Order Date]],"mmm")</f>
        <v>Jul</v>
      </c>
      <c r="D157" s="2" t="s">
        <v>155</v>
      </c>
      <c r="E157" s="2" t="s">
        <v>61</v>
      </c>
      <c r="F157" s="2" t="s">
        <v>62</v>
      </c>
      <c r="G157" s="2" t="s">
        <v>156</v>
      </c>
      <c r="H157" s="2" t="s">
        <v>93</v>
      </c>
      <c r="I157" s="2" t="s">
        <v>65</v>
      </c>
      <c r="J157" s="2">
        <v>5</v>
      </c>
      <c r="K157" s="3">
        <v>3.59</v>
      </c>
      <c r="L157" s="3">
        <v>17.95</v>
      </c>
      <c r="M157" s="4">
        <v>0.05</v>
      </c>
      <c r="N157" s="3">
        <v>0.9</v>
      </c>
      <c r="O157" s="3">
        <v>17.05</v>
      </c>
      <c r="P157" s="3">
        <v>6.26</v>
      </c>
      <c r="Q157" s="3">
        <v>10.79</v>
      </c>
      <c r="R157" s="2" t="s">
        <v>48</v>
      </c>
      <c r="S157" s="2" t="s">
        <v>66</v>
      </c>
      <c r="T157" s="2" t="s">
        <v>37</v>
      </c>
      <c r="U157" s="2">
        <v>5</v>
      </c>
    </row>
    <row r="158" spans="1:21" x14ac:dyDescent="0.25">
      <c r="A158" s="2" t="s">
        <v>380</v>
      </c>
      <c r="B158" s="2" t="s">
        <v>381</v>
      </c>
      <c r="C158" s="2" t="str">
        <f>TEXT(TransactionsTable500[[#This Row],[Order Date]],"mmm")</f>
        <v>Jul</v>
      </c>
      <c r="D158" s="2" t="s">
        <v>183</v>
      </c>
      <c r="E158" s="2" t="s">
        <v>184</v>
      </c>
      <c r="F158" s="2" t="s">
        <v>62</v>
      </c>
      <c r="G158" s="2" t="s">
        <v>185</v>
      </c>
      <c r="H158" s="2" t="s">
        <v>122</v>
      </c>
      <c r="I158" s="2" t="s">
        <v>47</v>
      </c>
      <c r="J158" s="2">
        <v>2</v>
      </c>
      <c r="K158" s="3">
        <v>7</v>
      </c>
      <c r="L158" s="3">
        <v>14</v>
      </c>
      <c r="M158" s="4">
        <v>0</v>
      </c>
      <c r="N158" s="3">
        <v>0</v>
      </c>
      <c r="O158" s="3">
        <v>14</v>
      </c>
      <c r="P158" s="3">
        <v>5.49</v>
      </c>
      <c r="Q158" s="3">
        <v>8.51</v>
      </c>
      <c r="R158" s="2" t="s">
        <v>28</v>
      </c>
      <c r="S158" s="2" t="s">
        <v>29</v>
      </c>
      <c r="T158" s="2" t="s">
        <v>30</v>
      </c>
      <c r="U158" s="2">
        <v>3</v>
      </c>
    </row>
    <row r="159" spans="1:21" x14ac:dyDescent="0.25">
      <c r="A159" s="2" t="s">
        <v>382</v>
      </c>
      <c r="B159" s="2" t="s">
        <v>383</v>
      </c>
      <c r="C159" s="2" t="str">
        <f>TEXT(TransactionsTable500[[#This Row],[Order Date]],"mmm")</f>
        <v>Jul</v>
      </c>
      <c r="D159" s="2" t="s">
        <v>109</v>
      </c>
      <c r="E159" s="2" t="s">
        <v>33</v>
      </c>
      <c r="F159" s="2" t="s">
        <v>34</v>
      </c>
      <c r="G159" s="2" t="s">
        <v>110</v>
      </c>
      <c r="H159" s="2" t="s">
        <v>77</v>
      </c>
      <c r="I159" s="2" t="s">
        <v>47</v>
      </c>
      <c r="J159" s="2">
        <v>1</v>
      </c>
      <c r="K159" s="3">
        <v>6.36</v>
      </c>
      <c r="L159" s="3">
        <v>6.36</v>
      </c>
      <c r="M159" s="4">
        <v>0</v>
      </c>
      <c r="N159" s="3">
        <v>0</v>
      </c>
      <c r="O159" s="3">
        <v>6.36</v>
      </c>
      <c r="P159" s="3">
        <v>2.5</v>
      </c>
      <c r="Q159" s="3">
        <v>3.86</v>
      </c>
      <c r="R159" s="2" t="s">
        <v>96</v>
      </c>
      <c r="S159" s="2" t="s">
        <v>36</v>
      </c>
      <c r="T159" s="2" t="s">
        <v>30</v>
      </c>
      <c r="U159" s="2">
        <v>4</v>
      </c>
    </row>
    <row r="160" spans="1:21" x14ac:dyDescent="0.25">
      <c r="A160" s="2" t="s">
        <v>384</v>
      </c>
      <c r="B160" s="2" t="s">
        <v>383</v>
      </c>
      <c r="C160" s="2" t="str">
        <f>TEXT(TransactionsTable500[[#This Row],[Order Date]],"mmm")</f>
        <v>Jul</v>
      </c>
      <c r="D160" s="2" t="s">
        <v>95</v>
      </c>
      <c r="E160" s="2" t="s">
        <v>23</v>
      </c>
      <c r="F160" s="2" t="s">
        <v>24</v>
      </c>
      <c r="G160" s="2" t="s">
        <v>52</v>
      </c>
      <c r="H160" s="2" t="s">
        <v>77</v>
      </c>
      <c r="I160" s="2" t="s">
        <v>47</v>
      </c>
      <c r="J160" s="2">
        <v>1</v>
      </c>
      <c r="K160" s="3">
        <v>6.62</v>
      </c>
      <c r="L160" s="3">
        <v>6.62</v>
      </c>
      <c r="M160" s="4">
        <v>0</v>
      </c>
      <c r="N160" s="3">
        <v>0</v>
      </c>
      <c r="O160" s="3">
        <v>6.62</v>
      </c>
      <c r="P160" s="3">
        <v>2.2200000000000002</v>
      </c>
      <c r="Q160" s="3">
        <v>4.4000000000000004</v>
      </c>
      <c r="R160" s="2" t="s">
        <v>48</v>
      </c>
      <c r="S160" s="2" t="s">
        <v>66</v>
      </c>
      <c r="T160" s="2" t="s">
        <v>90</v>
      </c>
      <c r="U160" s="2">
        <v>4</v>
      </c>
    </row>
    <row r="161" spans="1:21" x14ac:dyDescent="0.25">
      <c r="A161" s="2" t="s">
        <v>385</v>
      </c>
      <c r="B161" s="2" t="s">
        <v>386</v>
      </c>
      <c r="C161" s="2" t="str">
        <f>TEXT(TransactionsTable500[[#This Row],[Order Date]],"mmm")</f>
        <v>Jul</v>
      </c>
      <c r="D161" s="2" t="s">
        <v>69</v>
      </c>
      <c r="E161" s="2" t="s">
        <v>70</v>
      </c>
      <c r="F161" s="2" t="s">
        <v>44</v>
      </c>
      <c r="G161" s="2" t="s">
        <v>71</v>
      </c>
      <c r="H161" s="2" t="s">
        <v>99</v>
      </c>
      <c r="I161" s="2" t="s">
        <v>100</v>
      </c>
      <c r="J161" s="2">
        <v>1</v>
      </c>
      <c r="K161" s="3">
        <v>4.34</v>
      </c>
      <c r="L161" s="3">
        <v>4.34</v>
      </c>
      <c r="M161" s="4">
        <v>0</v>
      </c>
      <c r="N161" s="3">
        <v>0</v>
      </c>
      <c r="O161" s="3">
        <v>4.34</v>
      </c>
      <c r="P161" s="3">
        <v>1.65</v>
      </c>
      <c r="Q161" s="3">
        <v>2.69</v>
      </c>
      <c r="R161" s="2" t="s">
        <v>96</v>
      </c>
      <c r="S161" s="2" t="s">
        <v>36</v>
      </c>
      <c r="T161" s="2" t="s">
        <v>30</v>
      </c>
      <c r="U161" s="2">
        <v>3</v>
      </c>
    </row>
    <row r="162" spans="1:21" x14ac:dyDescent="0.25">
      <c r="A162" s="2" t="s">
        <v>387</v>
      </c>
      <c r="B162" s="2" t="s">
        <v>388</v>
      </c>
      <c r="C162" s="2" t="str">
        <f>TEXT(TransactionsTable500[[#This Row],[Order Date]],"mmm")</f>
        <v>Jul</v>
      </c>
      <c r="D162" s="2" t="s">
        <v>115</v>
      </c>
      <c r="E162" s="2" t="s">
        <v>70</v>
      </c>
      <c r="F162" s="2" t="s">
        <v>44</v>
      </c>
      <c r="G162" s="2" t="s">
        <v>76</v>
      </c>
      <c r="H162" s="2" t="s">
        <v>72</v>
      </c>
      <c r="I162" s="2" t="s">
        <v>58</v>
      </c>
      <c r="J162" s="2">
        <v>3</v>
      </c>
      <c r="K162" s="3">
        <v>14.82</v>
      </c>
      <c r="L162" s="3">
        <v>44.46</v>
      </c>
      <c r="M162" s="4">
        <v>0</v>
      </c>
      <c r="N162" s="3">
        <v>0</v>
      </c>
      <c r="O162" s="3">
        <v>44.46</v>
      </c>
      <c r="P162" s="3">
        <v>14.31</v>
      </c>
      <c r="Q162" s="3">
        <v>30.15</v>
      </c>
      <c r="R162" s="2" t="s">
        <v>48</v>
      </c>
      <c r="S162" s="2" t="s">
        <v>87</v>
      </c>
      <c r="T162" s="2" t="s">
        <v>30</v>
      </c>
      <c r="U162" s="2">
        <v>3</v>
      </c>
    </row>
    <row r="163" spans="1:21" x14ac:dyDescent="0.25">
      <c r="A163" s="2" t="s">
        <v>389</v>
      </c>
      <c r="B163" s="2" t="s">
        <v>390</v>
      </c>
      <c r="C163" s="2" t="str">
        <f>TEXT(TransactionsTable500[[#This Row],[Order Date]],"mmm")</f>
        <v>Jul</v>
      </c>
      <c r="D163" s="2" t="s">
        <v>199</v>
      </c>
      <c r="E163" s="2" t="s">
        <v>70</v>
      </c>
      <c r="F163" s="2" t="s">
        <v>44</v>
      </c>
      <c r="G163" s="2" t="s">
        <v>200</v>
      </c>
      <c r="H163" s="2" t="s">
        <v>122</v>
      </c>
      <c r="I163" s="2" t="s">
        <v>47</v>
      </c>
      <c r="J163" s="2">
        <v>3</v>
      </c>
      <c r="K163" s="3">
        <v>6.99</v>
      </c>
      <c r="L163" s="3">
        <v>20.97</v>
      </c>
      <c r="M163" s="4">
        <v>0.15</v>
      </c>
      <c r="N163" s="3">
        <v>3.15</v>
      </c>
      <c r="O163" s="3">
        <v>17.82</v>
      </c>
      <c r="P163" s="3">
        <v>5.89</v>
      </c>
      <c r="Q163" s="3">
        <v>11.93</v>
      </c>
      <c r="R163" s="2" t="s">
        <v>48</v>
      </c>
      <c r="S163" s="2" t="s">
        <v>66</v>
      </c>
      <c r="T163" s="2" t="s">
        <v>37</v>
      </c>
      <c r="U163" s="2">
        <v>4</v>
      </c>
    </row>
    <row r="164" spans="1:21" x14ac:dyDescent="0.25">
      <c r="A164" s="2" t="s">
        <v>391</v>
      </c>
      <c r="B164" s="2" t="s">
        <v>392</v>
      </c>
      <c r="C164" s="2" t="str">
        <f>TEXT(TransactionsTable500[[#This Row],[Order Date]],"mmm")</f>
        <v>Aug</v>
      </c>
      <c r="D164" s="2" t="s">
        <v>32</v>
      </c>
      <c r="E164" s="2" t="s">
        <v>33</v>
      </c>
      <c r="F164" s="2" t="s">
        <v>34</v>
      </c>
      <c r="G164" s="2" t="s">
        <v>35</v>
      </c>
      <c r="H164" s="2" t="s">
        <v>231</v>
      </c>
      <c r="I164" s="2" t="s">
        <v>100</v>
      </c>
      <c r="J164" s="2">
        <v>1</v>
      </c>
      <c r="K164" s="3">
        <v>4.82</v>
      </c>
      <c r="L164" s="3">
        <v>4.82</v>
      </c>
      <c r="M164" s="4">
        <v>0.05</v>
      </c>
      <c r="N164" s="3">
        <v>0.24</v>
      </c>
      <c r="O164" s="3">
        <v>4.58</v>
      </c>
      <c r="P164" s="3">
        <v>1.57</v>
      </c>
      <c r="Q164" s="3">
        <v>3.01</v>
      </c>
      <c r="R164" s="2" t="s">
        <v>96</v>
      </c>
      <c r="S164" s="2" t="s">
        <v>36</v>
      </c>
      <c r="T164" s="2" t="s">
        <v>30</v>
      </c>
      <c r="U164" s="2">
        <v>3</v>
      </c>
    </row>
    <row r="165" spans="1:21" x14ac:dyDescent="0.25">
      <c r="A165" s="2" t="s">
        <v>393</v>
      </c>
      <c r="B165" s="2" t="s">
        <v>394</v>
      </c>
      <c r="C165" s="2" t="str">
        <f>TEXT(TransactionsTable500[[#This Row],[Order Date]],"mmm")</f>
        <v>Aug</v>
      </c>
      <c r="D165" s="2" t="s">
        <v>127</v>
      </c>
      <c r="E165" s="2" t="s">
        <v>23</v>
      </c>
      <c r="F165" s="2" t="s">
        <v>24</v>
      </c>
      <c r="G165" s="2" t="s">
        <v>25</v>
      </c>
      <c r="H165" s="2" t="s">
        <v>231</v>
      </c>
      <c r="I165" s="2" t="s">
        <v>100</v>
      </c>
      <c r="J165" s="2">
        <v>1</v>
      </c>
      <c r="K165" s="3">
        <v>4.8099999999999996</v>
      </c>
      <c r="L165" s="3">
        <v>4.8099999999999996</v>
      </c>
      <c r="M165" s="4">
        <v>0</v>
      </c>
      <c r="N165" s="3">
        <v>0</v>
      </c>
      <c r="O165" s="3">
        <v>4.8099999999999996</v>
      </c>
      <c r="P165" s="3">
        <v>2.0099999999999998</v>
      </c>
      <c r="Q165" s="3">
        <v>2.8</v>
      </c>
      <c r="R165" s="2" t="s">
        <v>28</v>
      </c>
      <c r="S165" s="2" t="s">
        <v>87</v>
      </c>
      <c r="T165" s="2" t="s">
        <v>30</v>
      </c>
      <c r="U165" s="2">
        <v>4</v>
      </c>
    </row>
    <row r="166" spans="1:21" x14ac:dyDescent="0.25">
      <c r="A166" s="2" t="s">
        <v>395</v>
      </c>
      <c r="B166" s="2" t="s">
        <v>396</v>
      </c>
      <c r="C166" s="2" t="str">
        <f>TEXT(TransactionsTable500[[#This Row],[Order Date]],"mmm")</f>
        <v>Aug</v>
      </c>
      <c r="D166" s="2" t="s">
        <v>118</v>
      </c>
      <c r="E166" s="2" t="s">
        <v>119</v>
      </c>
      <c r="F166" s="2" t="s">
        <v>24</v>
      </c>
      <c r="G166" s="2" t="s">
        <v>120</v>
      </c>
      <c r="H166" s="2" t="s">
        <v>122</v>
      </c>
      <c r="I166" s="2" t="s">
        <v>47</v>
      </c>
      <c r="J166" s="2">
        <v>1</v>
      </c>
      <c r="K166" s="3">
        <v>6.74</v>
      </c>
      <c r="L166" s="3">
        <v>6.74</v>
      </c>
      <c r="M166" s="4">
        <v>0</v>
      </c>
      <c r="N166" s="3">
        <v>0</v>
      </c>
      <c r="O166" s="3">
        <v>6.74</v>
      </c>
      <c r="P166" s="3">
        <v>2.29</v>
      </c>
      <c r="Q166" s="3">
        <v>4.45</v>
      </c>
      <c r="R166" s="2" t="s">
        <v>48</v>
      </c>
      <c r="S166" s="2" t="s">
        <v>87</v>
      </c>
      <c r="T166" s="2" t="s">
        <v>30</v>
      </c>
      <c r="U166" s="2">
        <v>4</v>
      </c>
    </row>
    <row r="167" spans="1:21" x14ac:dyDescent="0.25">
      <c r="A167" s="2" t="s">
        <v>397</v>
      </c>
      <c r="B167" s="2" t="s">
        <v>398</v>
      </c>
      <c r="C167" s="2" t="str">
        <f>TEXT(TransactionsTable500[[#This Row],[Order Date]],"mmm")</f>
        <v>Aug</v>
      </c>
      <c r="D167" s="2" t="s">
        <v>165</v>
      </c>
      <c r="E167" s="2" t="s">
        <v>61</v>
      </c>
      <c r="F167" s="2" t="s">
        <v>62</v>
      </c>
      <c r="G167" s="2" t="s">
        <v>130</v>
      </c>
      <c r="H167" s="2" t="s">
        <v>140</v>
      </c>
      <c r="I167" s="2" t="s">
        <v>58</v>
      </c>
      <c r="J167" s="2">
        <v>4</v>
      </c>
      <c r="K167" s="3">
        <v>12.04</v>
      </c>
      <c r="L167" s="3">
        <v>48.16</v>
      </c>
      <c r="M167" s="4">
        <v>0.05</v>
      </c>
      <c r="N167" s="3">
        <v>2.41</v>
      </c>
      <c r="O167" s="3">
        <v>45.75</v>
      </c>
      <c r="P167" s="3">
        <v>18.57</v>
      </c>
      <c r="Q167" s="3">
        <v>27.18</v>
      </c>
      <c r="R167" s="2" t="s">
        <v>48</v>
      </c>
      <c r="S167" s="2" t="s">
        <v>66</v>
      </c>
      <c r="T167" s="2" t="s">
        <v>37</v>
      </c>
      <c r="U167" s="2">
        <v>4</v>
      </c>
    </row>
    <row r="168" spans="1:21" x14ac:dyDescent="0.25">
      <c r="A168" s="2" t="s">
        <v>399</v>
      </c>
      <c r="B168" s="2" t="s">
        <v>398</v>
      </c>
      <c r="C168" s="2" t="str">
        <f>TEXT(TransactionsTable500[[#This Row],[Order Date]],"mmm")</f>
        <v>Aug</v>
      </c>
      <c r="D168" s="2" t="s">
        <v>55</v>
      </c>
      <c r="E168" s="2" t="s">
        <v>43</v>
      </c>
      <c r="F168" s="2" t="s">
        <v>44</v>
      </c>
      <c r="G168" s="2" t="s">
        <v>56</v>
      </c>
      <c r="H168" s="2" t="s">
        <v>228</v>
      </c>
      <c r="I168" s="2" t="s">
        <v>65</v>
      </c>
      <c r="J168" s="2">
        <v>1</v>
      </c>
      <c r="K168" s="3">
        <v>3.32</v>
      </c>
      <c r="L168" s="3">
        <v>3.32</v>
      </c>
      <c r="M168" s="4">
        <v>0</v>
      </c>
      <c r="N168" s="3">
        <v>0</v>
      </c>
      <c r="O168" s="3">
        <v>3.32</v>
      </c>
      <c r="P168" s="3">
        <v>1.37</v>
      </c>
      <c r="Q168" s="3">
        <v>1.95</v>
      </c>
      <c r="R168" s="2" t="s">
        <v>28</v>
      </c>
      <c r="S168" s="2" t="s">
        <v>66</v>
      </c>
      <c r="T168" s="2" t="s">
        <v>30</v>
      </c>
      <c r="U168" s="2">
        <v>3</v>
      </c>
    </row>
    <row r="169" spans="1:21" x14ac:dyDescent="0.25">
      <c r="A169" s="2" t="s">
        <v>400</v>
      </c>
      <c r="B169" s="2" t="s">
        <v>401</v>
      </c>
      <c r="C169" s="2" t="str">
        <f>TEXT(TransactionsTable500[[#This Row],[Order Date]],"mmm")</f>
        <v>Aug</v>
      </c>
      <c r="D169" s="2" t="s">
        <v>216</v>
      </c>
      <c r="E169" s="2" t="s">
        <v>61</v>
      </c>
      <c r="F169" s="2" t="s">
        <v>62</v>
      </c>
      <c r="G169" s="2" t="s">
        <v>217</v>
      </c>
      <c r="H169" s="2" t="s">
        <v>231</v>
      </c>
      <c r="I169" s="2" t="s">
        <v>100</v>
      </c>
      <c r="J169" s="2">
        <v>2</v>
      </c>
      <c r="K169" s="3">
        <v>4.93</v>
      </c>
      <c r="L169" s="3">
        <v>9.86</v>
      </c>
      <c r="M169" s="4">
        <v>0</v>
      </c>
      <c r="N169" s="3">
        <v>0</v>
      </c>
      <c r="O169" s="3">
        <v>9.86</v>
      </c>
      <c r="P169" s="3">
        <v>3.23</v>
      </c>
      <c r="Q169" s="3">
        <v>6.63</v>
      </c>
      <c r="R169" s="2" t="s">
        <v>96</v>
      </c>
      <c r="S169" s="2" t="s">
        <v>29</v>
      </c>
      <c r="T169" s="2" t="s">
        <v>90</v>
      </c>
      <c r="U169" s="2">
        <v>5</v>
      </c>
    </row>
    <row r="170" spans="1:21" x14ac:dyDescent="0.25">
      <c r="A170" s="2" t="s">
        <v>402</v>
      </c>
      <c r="B170" s="2" t="s">
        <v>401</v>
      </c>
      <c r="C170" s="2" t="str">
        <f>TEXT(TransactionsTable500[[#This Row],[Order Date]],"mmm")</f>
        <v>Aug</v>
      </c>
      <c r="D170" s="2" t="s">
        <v>109</v>
      </c>
      <c r="E170" s="2" t="s">
        <v>33</v>
      </c>
      <c r="F170" s="2" t="s">
        <v>34</v>
      </c>
      <c r="G170" s="2" t="s">
        <v>110</v>
      </c>
      <c r="H170" s="2" t="s">
        <v>64</v>
      </c>
      <c r="I170" s="2" t="s">
        <v>65</v>
      </c>
      <c r="J170" s="2">
        <v>1</v>
      </c>
      <c r="K170" s="3">
        <v>2.62</v>
      </c>
      <c r="L170" s="3">
        <v>2.62</v>
      </c>
      <c r="M170" s="4">
        <v>0</v>
      </c>
      <c r="N170" s="3">
        <v>0</v>
      </c>
      <c r="O170" s="3">
        <v>2.62</v>
      </c>
      <c r="P170" s="3">
        <v>1.1000000000000001</v>
      </c>
      <c r="Q170" s="3">
        <v>1.52</v>
      </c>
      <c r="R170" s="2" t="s">
        <v>48</v>
      </c>
      <c r="S170" s="2" t="s">
        <v>36</v>
      </c>
      <c r="T170" s="2" t="s">
        <v>30</v>
      </c>
      <c r="U170" s="2">
        <v>3</v>
      </c>
    </row>
    <row r="171" spans="1:21" x14ac:dyDescent="0.25">
      <c r="A171" s="2" t="s">
        <v>403</v>
      </c>
      <c r="B171" s="2" t="s">
        <v>401</v>
      </c>
      <c r="C171" s="2" t="str">
        <f>TEXT(TransactionsTable500[[#This Row],[Order Date]],"mmm")</f>
        <v>Aug</v>
      </c>
      <c r="D171" s="2" t="s">
        <v>118</v>
      </c>
      <c r="E171" s="2" t="s">
        <v>119</v>
      </c>
      <c r="F171" s="2" t="s">
        <v>24</v>
      </c>
      <c r="G171" s="2" t="s">
        <v>120</v>
      </c>
      <c r="H171" s="2" t="s">
        <v>169</v>
      </c>
      <c r="I171" s="2" t="s">
        <v>65</v>
      </c>
      <c r="J171" s="2">
        <v>2</v>
      </c>
      <c r="K171" s="3">
        <v>3.19</v>
      </c>
      <c r="L171" s="3">
        <v>6.38</v>
      </c>
      <c r="M171" s="4">
        <v>0</v>
      </c>
      <c r="N171" s="3">
        <v>0</v>
      </c>
      <c r="O171" s="3">
        <v>6.38</v>
      </c>
      <c r="P171" s="3">
        <v>2.59</v>
      </c>
      <c r="Q171" s="3">
        <v>3.79</v>
      </c>
      <c r="R171" s="2" t="s">
        <v>28</v>
      </c>
      <c r="S171" s="2" t="s">
        <v>87</v>
      </c>
      <c r="T171" s="2" t="s">
        <v>30</v>
      </c>
      <c r="U171" s="2">
        <v>4</v>
      </c>
    </row>
    <row r="172" spans="1:21" x14ac:dyDescent="0.25">
      <c r="A172" s="2" t="s">
        <v>404</v>
      </c>
      <c r="B172" s="2" t="s">
        <v>405</v>
      </c>
      <c r="C172" s="2" t="str">
        <f>TEXT(TransactionsTable500[[#This Row],[Order Date]],"mmm")</f>
        <v>Aug</v>
      </c>
      <c r="D172" s="2" t="s">
        <v>55</v>
      </c>
      <c r="E172" s="2" t="s">
        <v>43</v>
      </c>
      <c r="F172" s="2" t="s">
        <v>44</v>
      </c>
      <c r="G172" s="2" t="s">
        <v>56</v>
      </c>
      <c r="H172" s="2" t="s">
        <v>169</v>
      </c>
      <c r="I172" s="2" t="s">
        <v>65</v>
      </c>
      <c r="J172" s="2">
        <v>3</v>
      </c>
      <c r="K172" s="3">
        <v>3.31</v>
      </c>
      <c r="L172" s="3">
        <v>9.93</v>
      </c>
      <c r="M172" s="4">
        <v>0</v>
      </c>
      <c r="N172" s="3">
        <v>0</v>
      </c>
      <c r="O172" s="3">
        <v>9.93</v>
      </c>
      <c r="P172" s="3">
        <v>3.71</v>
      </c>
      <c r="Q172" s="3">
        <v>6.22</v>
      </c>
      <c r="R172" s="2" t="s">
        <v>28</v>
      </c>
      <c r="S172" s="2" t="s">
        <v>36</v>
      </c>
      <c r="T172" s="2" t="s">
        <v>30</v>
      </c>
      <c r="U172" s="2">
        <v>4</v>
      </c>
    </row>
    <row r="173" spans="1:21" x14ac:dyDescent="0.25">
      <c r="A173" s="2" t="s">
        <v>406</v>
      </c>
      <c r="B173" s="2" t="s">
        <v>407</v>
      </c>
      <c r="C173" s="2" t="str">
        <f>TEXT(TransactionsTable500[[#This Row],[Order Date]],"mmm")</f>
        <v>Aug</v>
      </c>
      <c r="D173" s="2" t="s">
        <v>127</v>
      </c>
      <c r="E173" s="2" t="s">
        <v>23</v>
      </c>
      <c r="F173" s="2" t="s">
        <v>24</v>
      </c>
      <c r="G173" s="2" t="s">
        <v>25</v>
      </c>
      <c r="H173" s="2" t="s">
        <v>77</v>
      </c>
      <c r="I173" s="2" t="s">
        <v>47</v>
      </c>
      <c r="J173" s="2">
        <v>2</v>
      </c>
      <c r="K173" s="3">
        <v>6.54</v>
      </c>
      <c r="L173" s="3">
        <v>13.08</v>
      </c>
      <c r="M173" s="4">
        <v>0</v>
      </c>
      <c r="N173" s="3">
        <v>0</v>
      </c>
      <c r="O173" s="3">
        <v>13.08</v>
      </c>
      <c r="P173" s="3">
        <v>5.09</v>
      </c>
      <c r="Q173" s="3">
        <v>7.99</v>
      </c>
      <c r="R173" s="2" t="s">
        <v>48</v>
      </c>
      <c r="S173" s="2" t="s">
        <v>29</v>
      </c>
      <c r="T173" s="2" t="s">
        <v>37</v>
      </c>
      <c r="U173" s="2">
        <v>4</v>
      </c>
    </row>
    <row r="174" spans="1:21" x14ac:dyDescent="0.25">
      <c r="A174" s="2" t="s">
        <v>408</v>
      </c>
      <c r="B174" s="2" t="s">
        <v>409</v>
      </c>
      <c r="C174" s="2" t="str">
        <f>TEXT(TransactionsTable500[[#This Row],[Order Date]],"mmm")</f>
        <v>Aug</v>
      </c>
      <c r="D174" s="2" t="s">
        <v>127</v>
      </c>
      <c r="E174" s="2" t="s">
        <v>23</v>
      </c>
      <c r="F174" s="2" t="s">
        <v>24</v>
      </c>
      <c r="G174" s="2" t="s">
        <v>25</v>
      </c>
      <c r="H174" s="2" t="s">
        <v>77</v>
      </c>
      <c r="I174" s="2" t="s">
        <v>47</v>
      </c>
      <c r="J174" s="2">
        <v>2</v>
      </c>
      <c r="K174" s="3">
        <v>6.28</v>
      </c>
      <c r="L174" s="3">
        <v>12.56</v>
      </c>
      <c r="M174" s="4">
        <v>0</v>
      </c>
      <c r="N174" s="3">
        <v>0</v>
      </c>
      <c r="O174" s="3">
        <v>12.56</v>
      </c>
      <c r="P174" s="3">
        <v>4.21</v>
      </c>
      <c r="Q174" s="3">
        <v>8.35</v>
      </c>
      <c r="R174" s="2" t="s">
        <v>28</v>
      </c>
      <c r="S174" s="2" t="s">
        <v>29</v>
      </c>
      <c r="T174" s="2" t="s">
        <v>37</v>
      </c>
      <c r="U174" s="2">
        <v>4</v>
      </c>
    </row>
    <row r="175" spans="1:21" x14ac:dyDescent="0.25">
      <c r="A175" s="2" t="s">
        <v>410</v>
      </c>
      <c r="B175" s="2" t="s">
        <v>411</v>
      </c>
      <c r="C175" s="2" t="str">
        <f>TEXT(TransactionsTable500[[#This Row],[Order Date]],"mmm")</f>
        <v>Aug</v>
      </c>
      <c r="D175" s="2" t="s">
        <v>80</v>
      </c>
      <c r="E175" s="2" t="s">
        <v>23</v>
      </c>
      <c r="F175" s="2" t="s">
        <v>24</v>
      </c>
      <c r="G175" s="2" t="s">
        <v>81</v>
      </c>
      <c r="H175" s="2" t="s">
        <v>64</v>
      </c>
      <c r="I175" s="2" t="s">
        <v>65</v>
      </c>
      <c r="J175" s="2">
        <v>1</v>
      </c>
      <c r="K175" s="3">
        <v>2.57</v>
      </c>
      <c r="L175" s="3">
        <v>2.57</v>
      </c>
      <c r="M175" s="4">
        <v>0</v>
      </c>
      <c r="N175" s="3">
        <v>0</v>
      </c>
      <c r="O175" s="3">
        <v>2.57</v>
      </c>
      <c r="P175" s="3">
        <v>0.83</v>
      </c>
      <c r="Q175" s="3">
        <v>1.74</v>
      </c>
      <c r="R175" s="2" t="s">
        <v>28</v>
      </c>
      <c r="S175" s="2" t="s">
        <v>66</v>
      </c>
      <c r="T175" s="2" t="s">
        <v>37</v>
      </c>
      <c r="U175" s="2">
        <v>4</v>
      </c>
    </row>
    <row r="176" spans="1:21" x14ac:dyDescent="0.25">
      <c r="A176" s="2" t="s">
        <v>412</v>
      </c>
      <c r="B176" s="2" t="s">
        <v>413</v>
      </c>
      <c r="C176" s="2" t="str">
        <f>TEXT(TransactionsTable500[[#This Row],[Order Date]],"mmm")</f>
        <v>Aug</v>
      </c>
      <c r="D176" s="2" t="s">
        <v>127</v>
      </c>
      <c r="E176" s="2" t="s">
        <v>23</v>
      </c>
      <c r="F176" s="2" t="s">
        <v>24</v>
      </c>
      <c r="G176" s="2" t="s">
        <v>25</v>
      </c>
      <c r="H176" s="2" t="s">
        <v>99</v>
      </c>
      <c r="I176" s="2" t="s">
        <v>100</v>
      </c>
      <c r="J176" s="2">
        <v>1</v>
      </c>
      <c r="K176" s="3">
        <v>4.3099999999999996</v>
      </c>
      <c r="L176" s="3">
        <v>4.3099999999999996</v>
      </c>
      <c r="M176" s="4">
        <v>0.05</v>
      </c>
      <c r="N176" s="3">
        <v>0.22</v>
      </c>
      <c r="O176" s="3">
        <v>4.09</v>
      </c>
      <c r="P176" s="3">
        <v>1.56</v>
      </c>
      <c r="Q176" s="3">
        <v>2.5299999999999998</v>
      </c>
      <c r="R176" s="2" t="s">
        <v>28</v>
      </c>
      <c r="S176" s="2" t="s">
        <v>66</v>
      </c>
      <c r="T176" s="2" t="s">
        <v>30</v>
      </c>
      <c r="U176" s="2">
        <v>3</v>
      </c>
    </row>
    <row r="177" spans="1:21" x14ac:dyDescent="0.25">
      <c r="A177" s="2" t="s">
        <v>414</v>
      </c>
      <c r="B177" s="2" t="s">
        <v>415</v>
      </c>
      <c r="C177" s="2" t="str">
        <f>TEXT(TransactionsTable500[[#This Row],[Order Date]],"mmm")</f>
        <v>Aug</v>
      </c>
      <c r="D177" s="2" t="s">
        <v>80</v>
      </c>
      <c r="E177" s="2" t="s">
        <v>23</v>
      </c>
      <c r="F177" s="2" t="s">
        <v>24</v>
      </c>
      <c r="G177" s="2" t="s">
        <v>81</v>
      </c>
      <c r="H177" s="2" t="s">
        <v>231</v>
      </c>
      <c r="I177" s="2" t="s">
        <v>100</v>
      </c>
      <c r="J177" s="2">
        <v>3</v>
      </c>
      <c r="K177" s="3">
        <v>4.75</v>
      </c>
      <c r="L177" s="3">
        <v>14.25</v>
      </c>
      <c r="M177" s="4">
        <v>0.1</v>
      </c>
      <c r="N177" s="3">
        <v>1.42</v>
      </c>
      <c r="O177" s="3">
        <v>12.83</v>
      </c>
      <c r="P177" s="3">
        <v>4.24</v>
      </c>
      <c r="Q177" s="3">
        <v>8.59</v>
      </c>
      <c r="R177" s="2" t="s">
        <v>48</v>
      </c>
      <c r="S177" s="2" t="s">
        <v>29</v>
      </c>
      <c r="T177" s="2" t="s">
        <v>37</v>
      </c>
      <c r="U177" s="2">
        <v>5</v>
      </c>
    </row>
    <row r="178" spans="1:21" x14ac:dyDescent="0.25">
      <c r="A178" s="2" t="s">
        <v>416</v>
      </c>
      <c r="B178" s="2" t="s">
        <v>415</v>
      </c>
      <c r="C178" s="2" t="str">
        <f>TEXT(TransactionsTable500[[#This Row],[Order Date]],"mmm")</f>
        <v>Aug</v>
      </c>
      <c r="D178" s="2" t="s">
        <v>40</v>
      </c>
      <c r="E178" s="2" t="s">
        <v>33</v>
      </c>
      <c r="F178" s="2" t="s">
        <v>34</v>
      </c>
      <c r="G178" s="2" t="s">
        <v>35</v>
      </c>
      <c r="H178" s="2" t="s">
        <v>228</v>
      </c>
      <c r="I178" s="2" t="s">
        <v>65</v>
      </c>
      <c r="J178" s="2">
        <v>3</v>
      </c>
      <c r="K178" s="3">
        <v>3.53</v>
      </c>
      <c r="L178" s="3">
        <v>10.59</v>
      </c>
      <c r="M178" s="4">
        <v>0</v>
      </c>
      <c r="N178" s="3">
        <v>0</v>
      </c>
      <c r="O178" s="3">
        <v>10.59</v>
      </c>
      <c r="P178" s="3">
        <v>4.2300000000000004</v>
      </c>
      <c r="Q178" s="3">
        <v>6.36</v>
      </c>
      <c r="R178" s="2" t="s">
        <v>96</v>
      </c>
      <c r="S178" s="2" t="s">
        <v>66</v>
      </c>
      <c r="T178" s="2" t="s">
        <v>37</v>
      </c>
      <c r="U178" s="2">
        <v>4</v>
      </c>
    </row>
    <row r="179" spans="1:21" x14ac:dyDescent="0.25">
      <c r="A179" s="2" t="s">
        <v>417</v>
      </c>
      <c r="B179" s="2" t="s">
        <v>418</v>
      </c>
      <c r="C179" s="2" t="str">
        <f>TEXT(TransactionsTable500[[#This Row],[Order Date]],"mmm")</f>
        <v>Aug</v>
      </c>
      <c r="D179" s="2" t="s">
        <v>84</v>
      </c>
      <c r="E179" s="2" t="s">
        <v>61</v>
      </c>
      <c r="F179" s="2" t="s">
        <v>62</v>
      </c>
      <c r="G179" s="2" t="s">
        <v>85</v>
      </c>
      <c r="H179" s="2" t="s">
        <v>228</v>
      </c>
      <c r="I179" s="2" t="s">
        <v>65</v>
      </c>
      <c r="J179" s="2">
        <v>1</v>
      </c>
      <c r="K179" s="3">
        <v>3.45</v>
      </c>
      <c r="L179" s="3">
        <v>3.45</v>
      </c>
      <c r="M179" s="4">
        <v>0</v>
      </c>
      <c r="N179" s="3">
        <v>0</v>
      </c>
      <c r="O179" s="3">
        <v>3.45</v>
      </c>
      <c r="P179" s="3">
        <v>1.33</v>
      </c>
      <c r="Q179" s="3">
        <v>2.12</v>
      </c>
      <c r="R179" s="2" t="s">
        <v>48</v>
      </c>
      <c r="S179" s="2" t="s">
        <v>29</v>
      </c>
      <c r="T179" s="2" t="s">
        <v>37</v>
      </c>
      <c r="U179" s="2">
        <v>5</v>
      </c>
    </row>
    <row r="180" spans="1:21" x14ac:dyDescent="0.25">
      <c r="A180" s="2" t="s">
        <v>419</v>
      </c>
      <c r="B180" s="2" t="s">
        <v>420</v>
      </c>
      <c r="C180" s="2" t="str">
        <f>TEXT(TransactionsTable500[[#This Row],[Order Date]],"mmm")</f>
        <v>Aug</v>
      </c>
      <c r="D180" s="2" t="s">
        <v>95</v>
      </c>
      <c r="E180" s="2" t="s">
        <v>23</v>
      </c>
      <c r="F180" s="2" t="s">
        <v>24</v>
      </c>
      <c r="G180" s="2" t="s">
        <v>52</v>
      </c>
      <c r="H180" s="2" t="s">
        <v>112</v>
      </c>
      <c r="I180" s="2" t="s">
        <v>100</v>
      </c>
      <c r="J180" s="2">
        <v>5</v>
      </c>
      <c r="K180" s="3">
        <v>3.67</v>
      </c>
      <c r="L180" s="3">
        <v>18.350000000000001</v>
      </c>
      <c r="M180" s="4">
        <v>0</v>
      </c>
      <c r="N180" s="3">
        <v>0</v>
      </c>
      <c r="O180" s="3">
        <v>18.350000000000001</v>
      </c>
      <c r="P180" s="3">
        <v>6.93</v>
      </c>
      <c r="Q180" s="3">
        <v>11.42</v>
      </c>
      <c r="R180" s="2" t="s">
        <v>48</v>
      </c>
      <c r="S180" s="2" t="s">
        <v>87</v>
      </c>
      <c r="T180" s="2" t="s">
        <v>37</v>
      </c>
      <c r="U180" s="2">
        <v>5</v>
      </c>
    </row>
    <row r="181" spans="1:21" x14ac:dyDescent="0.25">
      <c r="A181" s="2" t="s">
        <v>421</v>
      </c>
      <c r="B181" s="2" t="s">
        <v>420</v>
      </c>
      <c r="C181" s="2" t="str">
        <f>TEXT(TransactionsTable500[[#This Row],[Order Date]],"mmm")</f>
        <v>Aug</v>
      </c>
      <c r="D181" s="2" t="s">
        <v>143</v>
      </c>
      <c r="E181" s="2" t="s">
        <v>43</v>
      </c>
      <c r="F181" s="2" t="s">
        <v>44</v>
      </c>
      <c r="G181" s="2" t="s">
        <v>144</v>
      </c>
      <c r="H181" s="2" t="s">
        <v>112</v>
      </c>
      <c r="I181" s="2" t="s">
        <v>100</v>
      </c>
      <c r="J181" s="2">
        <v>2</v>
      </c>
      <c r="K181" s="3">
        <v>3.88</v>
      </c>
      <c r="L181" s="3">
        <v>7.76</v>
      </c>
      <c r="M181" s="4">
        <v>0</v>
      </c>
      <c r="N181" s="3">
        <v>0</v>
      </c>
      <c r="O181" s="3">
        <v>7.76</v>
      </c>
      <c r="P181" s="3">
        <v>3.14</v>
      </c>
      <c r="Q181" s="3">
        <v>4.62</v>
      </c>
      <c r="R181" s="2" t="s">
        <v>28</v>
      </c>
      <c r="S181" s="2" t="s">
        <v>29</v>
      </c>
      <c r="T181" s="2" t="s">
        <v>30</v>
      </c>
      <c r="U181" s="2">
        <v>5</v>
      </c>
    </row>
    <row r="182" spans="1:21" x14ac:dyDescent="0.25">
      <c r="A182" s="2" t="s">
        <v>422</v>
      </c>
      <c r="B182" s="2" t="s">
        <v>423</v>
      </c>
      <c r="C182" s="2" t="str">
        <f>TEXT(TransactionsTable500[[#This Row],[Order Date]],"mmm")</f>
        <v>Aug</v>
      </c>
      <c r="D182" s="2" t="s">
        <v>95</v>
      </c>
      <c r="E182" s="2" t="s">
        <v>23</v>
      </c>
      <c r="F182" s="2" t="s">
        <v>24</v>
      </c>
      <c r="G182" s="2" t="s">
        <v>52</v>
      </c>
      <c r="H182" s="2" t="s">
        <v>122</v>
      </c>
      <c r="I182" s="2" t="s">
        <v>47</v>
      </c>
      <c r="J182" s="2">
        <v>4</v>
      </c>
      <c r="K182" s="3">
        <v>6.76</v>
      </c>
      <c r="L182" s="3">
        <v>27.04</v>
      </c>
      <c r="M182" s="4">
        <v>0</v>
      </c>
      <c r="N182" s="3">
        <v>0</v>
      </c>
      <c r="O182" s="3">
        <v>27.04</v>
      </c>
      <c r="P182" s="3">
        <v>9.85</v>
      </c>
      <c r="Q182" s="3">
        <v>17.190000000000001</v>
      </c>
      <c r="R182" s="2" t="s">
        <v>48</v>
      </c>
      <c r="S182" s="2" t="s">
        <v>36</v>
      </c>
      <c r="T182" s="2" t="s">
        <v>30</v>
      </c>
      <c r="U182" s="2">
        <v>5</v>
      </c>
    </row>
    <row r="183" spans="1:21" x14ac:dyDescent="0.25">
      <c r="A183" s="2" t="s">
        <v>424</v>
      </c>
      <c r="B183" s="2" t="s">
        <v>425</v>
      </c>
      <c r="C183" s="2" t="str">
        <f>TEXT(TransactionsTable500[[#This Row],[Order Date]],"mmm")</f>
        <v>Aug</v>
      </c>
      <c r="D183" s="2" t="s">
        <v>115</v>
      </c>
      <c r="E183" s="2" t="s">
        <v>70</v>
      </c>
      <c r="F183" s="2" t="s">
        <v>44</v>
      </c>
      <c r="G183" s="2" t="s">
        <v>76</v>
      </c>
      <c r="H183" s="2" t="s">
        <v>72</v>
      </c>
      <c r="I183" s="2" t="s">
        <v>58</v>
      </c>
      <c r="J183" s="2">
        <v>5</v>
      </c>
      <c r="K183" s="3">
        <v>14.66</v>
      </c>
      <c r="L183" s="3">
        <v>73.3</v>
      </c>
      <c r="M183" s="4">
        <v>0</v>
      </c>
      <c r="N183" s="3">
        <v>0</v>
      </c>
      <c r="O183" s="3">
        <v>73.3</v>
      </c>
      <c r="P183" s="3">
        <v>26.33</v>
      </c>
      <c r="Q183" s="3">
        <v>46.97</v>
      </c>
      <c r="R183" s="2" t="s">
        <v>48</v>
      </c>
      <c r="S183" s="2" t="s">
        <v>29</v>
      </c>
      <c r="T183" s="2" t="s">
        <v>90</v>
      </c>
      <c r="U183" s="2">
        <v>3</v>
      </c>
    </row>
    <row r="184" spans="1:21" x14ac:dyDescent="0.25">
      <c r="A184" s="2" t="s">
        <v>426</v>
      </c>
      <c r="B184" s="2" t="s">
        <v>427</v>
      </c>
      <c r="C184" s="2" t="str">
        <f>TEXT(TransactionsTable500[[#This Row],[Order Date]],"mmm")</f>
        <v>Aug</v>
      </c>
      <c r="D184" s="2" t="s">
        <v>221</v>
      </c>
      <c r="E184" s="2" t="s">
        <v>61</v>
      </c>
      <c r="F184" s="2" t="s">
        <v>62</v>
      </c>
      <c r="G184" s="2" t="s">
        <v>63</v>
      </c>
      <c r="H184" s="2" t="s">
        <v>157</v>
      </c>
      <c r="I184" s="2" t="s">
        <v>47</v>
      </c>
      <c r="J184" s="2">
        <v>2</v>
      </c>
      <c r="K184" s="3">
        <v>7.49</v>
      </c>
      <c r="L184" s="3">
        <v>14.98</v>
      </c>
      <c r="M184" s="4">
        <v>0</v>
      </c>
      <c r="N184" s="3">
        <v>0</v>
      </c>
      <c r="O184" s="3">
        <v>14.98</v>
      </c>
      <c r="P184" s="3">
        <v>5.15</v>
      </c>
      <c r="Q184" s="3">
        <v>9.83</v>
      </c>
      <c r="R184" s="2" t="s">
        <v>48</v>
      </c>
      <c r="S184" s="2" t="s">
        <v>66</v>
      </c>
      <c r="T184" s="2" t="s">
        <v>37</v>
      </c>
      <c r="U184" s="2">
        <v>5</v>
      </c>
    </row>
    <row r="185" spans="1:21" x14ac:dyDescent="0.25">
      <c r="A185" s="2" t="s">
        <v>428</v>
      </c>
      <c r="B185" s="2" t="s">
        <v>429</v>
      </c>
      <c r="C185" s="2" t="str">
        <f>TEXT(TransactionsTable500[[#This Row],[Order Date]],"mmm")</f>
        <v>Aug</v>
      </c>
      <c r="D185" s="2" t="s">
        <v>270</v>
      </c>
      <c r="E185" s="2" t="s">
        <v>70</v>
      </c>
      <c r="F185" s="2" t="s">
        <v>44</v>
      </c>
      <c r="G185" s="2" t="s">
        <v>200</v>
      </c>
      <c r="H185" s="2" t="s">
        <v>231</v>
      </c>
      <c r="I185" s="2" t="s">
        <v>100</v>
      </c>
      <c r="J185" s="2">
        <v>1</v>
      </c>
      <c r="K185" s="3">
        <v>4.63</v>
      </c>
      <c r="L185" s="3">
        <v>4.63</v>
      </c>
      <c r="M185" s="4">
        <v>0</v>
      </c>
      <c r="N185" s="3">
        <v>0</v>
      </c>
      <c r="O185" s="3">
        <v>4.63</v>
      </c>
      <c r="P185" s="3">
        <v>1.77</v>
      </c>
      <c r="Q185" s="3">
        <v>2.86</v>
      </c>
      <c r="R185" s="2" t="s">
        <v>96</v>
      </c>
      <c r="S185" s="2" t="s">
        <v>87</v>
      </c>
      <c r="T185" s="2" t="s">
        <v>37</v>
      </c>
      <c r="U185" s="2">
        <v>3</v>
      </c>
    </row>
    <row r="186" spans="1:21" x14ac:dyDescent="0.25">
      <c r="A186" s="2" t="s">
        <v>430</v>
      </c>
      <c r="B186" s="2" t="s">
        <v>431</v>
      </c>
      <c r="C186" s="2" t="str">
        <f>TEXT(TransactionsTable500[[#This Row],[Order Date]],"mmm")</f>
        <v>Sep</v>
      </c>
      <c r="D186" s="2" t="s">
        <v>139</v>
      </c>
      <c r="E186" s="2" t="s">
        <v>70</v>
      </c>
      <c r="F186" s="2" t="s">
        <v>44</v>
      </c>
      <c r="G186" s="2" t="s">
        <v>71</v>
      </c>
      <c r="H186" s="2" t="s">
        <v>57</v>
      </c>
      <c r="I186" s="2" t="s">
        <v>58</v>
      </c>
      <c r="J186" s="2">
        <v>1</v>
      </c>
      <c r="K186" s="3">
        <v>9.44</v>
      </c>
      <c r="L186" s="3">
        <v>9.44</v>
      </c>
      <c r="M186" s="4">
        <v>0</v>
      </c>
      <c r="N186" s="3">
        <v>0</v>
      </c>
      <c r="O186" s="3">
        <v>9.44</v>
      </c>
      <c r="P186" s="3">
        <v>3.07</v>
      </c>
      <c r="Q186" s="3">
        <v>6.37</v>
      </c>
      <c r="R186" s="2" t="s">
        <v>48</v>
      </c>
      <c r="S186" s="2" t="s">
        <v>66</v>
      </c>
      <c r="T186" s="2" t="s">
        <v>37</v>
      </c>
      <c r="U186" s="2">
        <v>5</v>
      </c>
    </row>
    <row r="187" spans="1:21" x14ac:dyDescent="0.25">
      <c r="A187" s="2" t="s">
        <v>432</v>
      </c>
      <c r="B187" s="2" t="s">
        <v>433</v>
      </c>
      <c r="C187" s="2" t="str">
        <f>TEXT(TransactionsTable500[[#This Row],[Order Date]],"mmm")</f>
        <v>Sep</v>
      </c>
      <c r="D187" s="2" t="s">
        <v>80</v>
      </c>
      <c r="E187" s="2" t="s">
        <v>23</v>
      </c>
      <c r="F187" s="2" t="s">
        <v>24</v>
      </c>
      <c r="G187" s="2" t="s">
        <v>81</v>
      </c>
      <c r="H187" s="2" t="s">
        <v>99</v>
      </c>
      <c r="I187" s="2" t="s">
        <v>100</v>
      </c>
      <c r="J187" s="2">
        <v>4</v>
      </c>
      <c r="K187" s="3">
        <v>4.53</v>
      </c>
      <c r="L187" s="3">
        <v>18.12</v>
      </c>
      <c r="M187" s="4">
        <v>0.1</v>
      </c>
      <c r="N187" s="3">
        <v>1.81</v>
      </c>
      <c r="O187" s="3">
        <v>16.309999999999999</v>
      </c>
      <c r="P187" s="3">
        <v>6.24</v>
      </c>
      <c r="Q187" s="3">
        <v>10.07</v>
      </c>
      <c r="R187" s="2" t="s">
        <v>48</v>
      </c>
      <c r="S187" s="2" t="s">
        <v>29</v>
      </c>
      <c r="T187" s="2" t="s">
        <v>37</v>
      </c>
      <c r="U187" s="2">
        <v>5</v>
      </c>
    </row>
    <row r="188" spans="1:21" x14ac:dyDescent="0.25">
      <c r="A188" s="2" t="s">
        <v>434</v>
      </c>
      <c r="B188" s="2" t="s">
        <v>433</v>
      </c>
      <c r="C188" s="2" t="str">
        <f>TEXT(TransactionsTable500[[#This Row],[Order Date]],"mmm")</f>
        <v>Sep</v>
      </c>
      <c r="D188" s="2" t="s">
        <v>32</v>
      </c>
      <c r="E188" s="2" t="s">
        <v>33</v>
      </c>
      <c r="F188" s="2" t="s">
        <v>34</v>
      </c>
      <c r="G188" s="2" t="s">
        <v>35</v>
      </c>
      <c r="H188" s="2" t="s">
        <v>53</v>
      </c>
      <c r="I188" s="2" t="s">
        <v>27</v>
      </c>
      <c r="J188" s="2">
        <v>1</v>
      </c>
      <c r="K188" s="3">
        <v>3.8</v>
      </c>
      <c r="L188" s="3">
        <v>3.8</v>
      </c>
      <c r="M188" s="4">
        <v>0</v>
      </c>
      <c r="N188" s="3">
        <v>0</v>
      </c>
      <c r="O188" s="3">
        <v>3.8</v>
      </c>
      <c r="P188" s="3">
        <v>1.57</v>
      </c>
      <c r="Q188" s="3">
        <v>2.23</v>
      </c>
      <c r="R188" s="2" t="s">
        <v>96</v>
      </c>
      <c r="S188" s="2" t="s">
        <v>29</v>
      </c>
      <c r="T188" s="2" t="s">
        <v>30</v>
      </c>
      <c r="U188" s="2">
        <v>5</v>
      </c>
    </row>
    <row r="189" spans="1:21" x14ac:dyDescent="0.25">
      <c r="A189" s="2" t="s">
        <v>435</v>
      </c>
      <c r="B189" s="2" t="s">
        <v>436</v>
      </c>
      <c r="C189" s="2" t="str">
        <f>TEXT(TransactionsTable500[[#This Row],[Order Date]],"mmm")</f>
        <v>Sep</v>
      </c>
      <c r="D189" s="2" t="s">
        <v>80</v>
      </c>
      <c r="E189" s="2" t="s">
        <v>23</v>
      </c>
      <c r="F189" s="2" t="s">
        <v>24</v>
      </c>
      <c r="G189" s="2" t="s">
        <v>81</v>
      </c>
      <c r="H189" s="2" t="s">
        <v>53</v>
      </c>
      <c r="I189" s="2" t="s">
        <v>27</v>
      </c>
      <c r="J189" s="2">
        <v>1</v>
      </c>
      <c r="K189" s="3">
        <v>3.75</v>
      </c>
      <c r="L189" s="3">
        <v>3.75</v>
      </c>
      <c r="M189" s="4">
        <v>0</v>
      </c>
      <c r="N189" s="3">
        <v>0</v>
      </c>
      <c r="O189" s="3">
        <v>3.75</v>
      </c>
      <c r="P189" s="3">
        <v>1.48</v>
      </c>
      <c r="Q189" s="3">
        <v>2.27</v>
      </c>
      <c r="R189" s="2" t="s">
        <v>96</v>
      </c>
      <c r="S189" s="2" t="s">
        <v>29</v>
      </c>
      <c r="T189" s="2" t="s">
        <v>37</v>
      </c>
      <c r="U189" s="2">
        <v>4</v>
      </c>
    </row>
    <row r="190" spans="1:21" x14ac:dyDescent="0.25">
      <c r="A190" s="2" t="s">
        <v>437</v>
      </c>
      <c r="B190" s="2" t="s">
        <v>436</v>
      </c>
      <c r="C190" s="2" t="str">
        <f>TEXT(TransactionsTable500[[#This Row],[Order Date]],"mmm")</f>
        <v>Sep</v>
      </c>
      <c r="D190" s="2" t="s">
        <v>32</v>
      </c>
      <c r="E190" s="2" t="s">
        <v>33</v>
      </c>
      <c r="F190" s="2" t="s">
        <v>34</v>
      </c>
      <c r="G190" s="2" t="s">
        <v>35</v>
      </c>
      <c r="H190" s="2" t="s">
        <v>122</v>
      </c>
      <c r="I190" s="2" t="s">
        <v>47</v>
      </c>
      <c r="J190" s="2">
        <v>1</v>
      </c>
      <c r="K190" s="3">
        <v>7.18</v>
      </c>
      <c r="L190" s="3">
        <v>7.18</v>
      </c>
      <c r="M190" s="4">
        <v>0.05</v>
      </c>
      <c r="N190" s="3">
        <v>0.36</v>
      </c>
      <c r="O190" s="3">
        <v>6.82</v>
      </c>
      <c r="P190" s="3">
        <v>2.52</v>
      </c>
      <c r="Q190" s="3">
        <v>4.3</v>
      </c>
      <c r="R190" s="2" t="s">
        <v>48</v>
      </c>
      <c r="S190" s="2" t="s">
        <v>29</v>
      </c>
      <c r="T190" s="2" t="s">
        <v>30</v>
      </c>
      <c r="U190" s="2">
        <v>5</v>
      </c>
    </row>
    <row r="191" spans="1:21" x14ac:dyDescent="0.25">
      <c r="A191" s="2" t="s">
        <v>438</v>
      </c>
      <c r="B191" s="2" t="s">
        <v>439</v>
      </c>
      <c r="C191" s="2" t="str">
        <f>TEXT(TransactionsTable500[[#This Row],[Order Date]],"mmm")</f>
        <v>Sep</v>
      </c>
      <c r="D191" s="2" t="s">
        <v>22</v>
      </c>
      <c r="E191" s="2" t="s">
        <v>23</v>
      </c>
      <c r="F191" s="2" t="s">
        <v>24</v>
      </c>
      <c r="G191" s="2" t="s">
        <v>25</v>
      </c>
      <c r="H191" s="2" t="s">
        <v>53</v>
      </c>
      <c r="I191" s="2" t="s">
        <v>27</v>
      </c>
      <c r="J191" s="2">
        <v>1</v>
      </c>
      <c r="K191" s="3">
        <v>3.89</v>
      </c>
      <c r="L191" s="3">
        <v>3.89</v>
      </c>
      <c r="M191" s="4">
        <v>0</v>
      </c>
      <c r="N191" s="3">
        <v>0</v>
      </c>
      <c r="O191" s="3">
        <v>3.89</v>
      </c>
      <c r="P191" s="3">
        <v>1.6</v>
      </c>
      <c r="Q191" s="3">
        <v>2.29</v>
      </c>
      <c r="R191" s="2" t="s">
        <v>48</v>
      </c>
      <c r="S191" s="2" t="s">
        <v>66</v>
      </c>
      <c r="T191" s="2" t="s">
        <v>37</v>
      </c>
      <c r="U191" s="2">
        <v>1</v>
      </c>
    </row>
    <row r="192" spans="1:21" x14ac:dyDescent="0.25">
      <c r="A192" s="2" t="s">
        <v>440</v>
      </c>
      <c r="B192" s="2" t="s">
        <v>439</v>
      </c>
      <c r="C192" s="2" t="str">
        <f>TEXT(TransactionsTable500[[#This Row],[Order Date]],"mmm")</f>
        <v>Sep</v>
      </c>
      <c r="D192" s="2" t="s">
        <v>109</v>
      </c>
      <c r="E192" s="2" t="s">
        <v>33</v>
      </c>
      <c r="F192" s="2" t="s">
        <v>34</v>
      </c>
      <c r="G192" s="2" t="s">
        <v>110</v>
      </c>
      <c r="H192" s="2" t="s">
        <v>122</v>
      </c>
      <c r="I192" s="2" t="s">
        <v>47</v>
      </c>
      <c r="J192" s="2">
        <v>2</v>
      </c>
      <c r="K192" s="3">
        <v>6.57</v>
      </c>
      <c r="L192" s="3">
        <v>13.14</v>
      </c>
      <c r="M192" s="4">
        <v>0</v>
      </c>
      <c r="N192" s="3">
        <v>0</v>
      </c>
      <c r="O192" s="3">
        <v>13.14</v>
      </c>
      <c r="P192" s="3">
        <v>4.96</v>
      </c>
      <c r="Q192" s="3">
        <v>8.18</v>
      </c>
      <c r="R192" s="2" t="s">
        <v>96</v>
      </c>
      <c r="S192" s="2" t="s">
        <v>36</v>
      </c>
      <c r="T192" s="2" t="s">
        <v>90</v>
      </c>
      <c r="U192" s="2">
        <v>3</v>
      </c>
    </row>
    <row r="193" spans="1:21" x14ac:dyDescent="0.25">
      <c r="A193" s="2" t="s">
        <v>441</v>
      </c>
      <c r="B193" s="2" t="s">
        <v>439</v>
      </c>
      <c r="C193" s="2" t="str">
        <f>TEXT(TransactionsTable500[[#This Row],[Order Date]],"mmm")</f>
        <v>Sep</v>
      </c>
      <c r="D193" s="2" t="s">
        <v>165</v>
      </c>
      <c r="E193" s="2" t="s">
        <v>61</v>
      </c>
      <c r="F193" s="2" t="s">
        <v>62</v>
      </c>
      <c r="G193" s="2" t="s">
        <v>130</v>
      </c>
      <c r="H193" s="2" t="s">
        <v>231</v>
      </c>
      <c r="I193" s="2" t="s">
        <v>100</v>
      </c>
      <c r="J193" s="2">
        <v>1</v>
      </c>
      <c r="K193" s="3">
        <v>4.67</v>
      </c>
      <c r="L193" s="3">
        <v>4.67</v>
      </c>
      <c r="M193" s="4">
        <v>0</v>
      </c>
      <c r="N193" s="3">
        <v>0</v>
      </c>
      <c r="O193" s="3">
        <v>4.67</v>
      </c>
      <c r="P193" s="3">
        <v>1.84</v>
      </c>
      <c r="Q193" s="3">
        <v>2.83</v>
      </c>
      <c r="R193" s="2" t="s">
        <v>28</v>
      </c>
      <c r="S193" s="2" t="s">
        <v>36</v>
      </c>
      <c r="T193" s="2" t="s">
        <v>30</v>
      </c>
      <c r="U193" s="2">
        <v>5</v>
      </c>
    </row>
    <row r="194" spans="1:21" x14ac:dyDescent="0.25">
      <c r="A194" s="2" t="s">
        <v>442</v>
      </c>
      <c r="B194" s="2" t="s">
        <v>443</v>
      </c>
      <c r="C194" s="2" t="str">
        <f>TEXT(TransactionsTable500[[#This Row],[Order Date]],"mmm")</f>
        <v>Sep</v>
      </c>
      <c r="D194" s="2" t="s">
        <v>84</v>
      </c>
      <c r="E194" s="2" t="s">
        <v>61</v>
      </c>
      <c r="F194" s="2" t="s">
        <v>62</v>
      </c>
      <c r="G194" s="2" t="s">
        <v>85</v>
      </c>
      <c r="H194" s="2" t="s">
        <v>72</v>
      </c>
      <c r="I194" s="2" t="s">
        <v>58</v>
      </c>
      <c r="J194" s="2">
        <v>1</v>
      </c>
      <c r="K194" s="3">
        <v>15.58</v>
      </c>
      <c r="L194" s="3">
        <v>15.58</v>
      </c>
      <c r="M194" s="4">
        <v>0</v>
      </c>
      <c r="N194" s="3">
        <v>0</v>
      </c>
      <c r="O194" s="3">
        <v>15.58</v>
      </c>
      <c r="P194" s="3">
        <v>5.15</v>
      </c>
      <c r="Q194" s="3">
        <v>10.43</v>
      </c>
      <c r="R194" s="2" t="s">
        <v>48</v>
      </c>
      <c r="S194" s="2" t="s">
        <v>29</v>
      </c>
      <c r="T194" s="2" t="s">
        <v>37</v>
      </c>
      <c r="U194" s="2">
        <v>3</v>
      </c>
    </row>
    <row r="195" spans="1:21" x14ac:dyDescent="0.25">
      <c r="A195" s="2" t="s">
        <v>444</v>
      </c>
      <c r="B195" s="2" t="s">
        <v>443</v>
      </c>
      <c r="C195" s="2" t="str">
        <f>TEXT(TransactionsTable500[[#This Row],[Order Date]],"mmm")</f>
        <v>Sep</v>
      </c>
      <c r="D195" s="2" t="s">
        <v>60</v>
      </c>
      <c r="E195" s="2" t="s">
        <v>61</v>
      </c>
      <c r="F195" s="2" t="s">
        <v>62</v>
      </c>
      <c r="G195" s="2" t="s">
        <v>63</v>
      </c>
      <c r="H195" s="2" t="s">
        <v>169</v>
      </c>
      <c r="I195" s="2" t="s">
        <v>65</v>
      </c>
      <c r="J195" s="2">
        <v>3</v>
      </c>
      <c r="K195" s="3">
        <v>3.17</v>
      </c>
      <c r="L195" s="3">
        <v>9.51</v>
      </c>
      <c r="M195" s="4">
        <v>0.05</v>
      </c>
      <c r="N195" s="3">
        <v>0.48</v>
      </c>
      <c r="O195" s="3">
        <v>9.0299999999999994</v>
      </c>
      <c r="P195" s="3">
        <v>2.94</v>
      </c>
      <c r="Q195" s="3">
        <v>6.09</v>
      </c>
      <c r="R195" s="2" t="s">
        <v>96</v>
      </c>
      <c r="S195" s="2" t="s">
        <v>36</v>
      </c>
      <c r="T195" s="2" t="s">
        <v>30</v>
      </c>
      <c r="U195" s="2">
        <v>4</v>
      </c>
    </row>
    <row r="196" spans="1:21" x14ac:dyDescent="0.25">
      <c r="A196" s="2" t="s">
        <v>445</v>
      </c>
      <c r="B196" s="2" t="s">
        <v>446</v>
      </c>
      <c r="C196" s="2" t="str">
        <f>TEXT(TransactionsTable500[[#This Row],[Order Date]],"mmm")</f>
        <v>Sep</v>
      </c>
      <c r="D196" s="2" t="s">
        <v>212</v>
      </c>
      <c r="E196" s="2" t="s">
        <v>184</v>
      </c>
      <c r="F196" s="2" t="s">
        <v>62</v>
      </c>
      <c r="G196" s="2" t="s">
        <v>213</v>
      </c>
      <c r="H196" s="2" t="s">
        <v>64</v>
      </c>
      <c r="I196" s="2" t="s">
        <v>65</v>
      </c>
      <c r="J196" s="2">
        <v>2</v>
      </c>
      <c r="K196" s="3">
        <v>2.39</v>
      </c>
      <c r="L196" s="3">
        <v>4.78</v>
      </c>
      <c r="M196" s="4">
        <v>0</v>
      </c>
      <c r="N196" s="3">
        <v>0</v>
      </c>
      <c r="O196" s="3">
        <v>4.78</v>
      </c>
      <c r="P196" s="3">
        <v>1.78</v>
      </c>
      <c r="Q196" s="3">
        <v>3</v>
      </c>
      <c r="R196" s="2" t="s">
        <v>48</v>
      </c>
      <c r="S196" s="2" t="s">
        <v>29</v>
      </c>
      <c r="T196" s="2" t="s">
        <v>37</v>
      </c>
      <c r="U196" s="2">
        <v>4</v>
      </c>
    </row>
    <row r="197" spans="1:21" x14ac:dyDescent="0.25">
      <c r="A197" s="2" t="s">
        <v>447</v>
      </c>
      <c r="B197" s="2" t="s">
        <v>448</v>
      </c>
      <c r="C197" s="2" t="str">
        <f>TEXT(TransactionsTable500[[#This Row],[Order Date]],"mmm")</f>
        <v>Sep</v>
      </c>
      <c r="D197" s="2" t="s">
        <v>133</v>
      </c>
      <c r="E197" s="2" t="s">
        <v>119</v>
      </c>
      <c r="F197" s="2" t="s">
        <v>24</v>
      </c>
      <c r="G197" s="2" t="s">
        <v>134</v>
      </c>
      <c r="H197" s="2" t="s">
        <v>203</v>
      </c>
      <c r="I197" s="2" t="s">
        <v>100</v>
      </c>
      <c r="J197" s="2">
        <v>1</v>
      </c>
      <c r="K197" s="3">
        <v>4.01</v>
      </c>
      <c r="L197" s="3">
        <v>4.01</v>
      </c>
      <c r="M197" s="4">
        <v>0</v>
      </c>
      <c r="N197" s="3">
        <v>0</v>
      </c>
      <c r="O197" s="3">
        <v>4.01</v>
      </c>
      <c r="P197" s="3">
        <v>1.68</v>
      </c>
      <c r="Q197" s="3">
        <v>2.33</v>
      </c>
      <c r="R197" s="2" t="s">
        <v>48</v>
      </c>
      <c r="S197" s="2" t="s">
        <v>66</v>
      </c>
      <c r="T197" s="2" t="s">
        <v>30</v>
      </c>
      <c r="U197" s="2">
        <v>3</v>
      </c>
    </row>
    <row r="198" spans="1:21" x14ac:dyDescent="0.25">
      <c r="A198" s="2" t="s">
        <v>449</v>
      </c>
      <c r="B198" s="2" t="s">
        <v>448</v>
      </c>
      <c r="C198" s="2" t="str">
        <f>TEXT(TransactionsTable500[[#This Row],[Order Date]],"mmm")</f>
        <v>Sep</v>
      </c>
      <c r="D198" s="2" t="s">
        <v>139</v>
      </c>
      <c r="E198" s="2" t="s">
        <v>70</v>
      </c>
      <c r="F198" s="2" t="s">
        <v>44</v>
      </c>
      <c r="G198" s="2" t="s">
        <v>71</v>
      </c>
      <c r="H198" s="2" t="s">
        <v>228</v>
      </c>
      <c r="I198" s="2" t="s">
        <v>65</v>
      </c>
      <c r="J198" s="2">
        <v>1</v>
      </c>
      <c r="K198" s="3">
        <v>3.56</v>
      </c>
      <c r="L198" s="3">
        <v>3.56</v>
      </c>
      <c r="M198" s="4">
        <v>0.15</v>
      </c>
      <c r="N198" s="3">
        <v>0.53</v>
      </c>
      <c r="O198" s="3">
        <v>3.03</v>
      </c>
      <c r="P198" s="3">
        <v>1.1299999999999999</v>
      </c>
      <c r="Q198" s="3">
        <v>1.9</v>
      </c>
      <c r="R198" s="2" t="s">
        <v>28</v>
      </c>
      <c r="S198" s="2" t="s">
        <v>66</v>
      </c>
      <c r="T198" s="2" t="s">
        <v>90</v>
      </c>
      <c r="U198" s="2">
        <v>4</v>
      </c>
    </row>
    <row r="199" spans="1:21" x14ac:dyDescent="0.25">
      <c r="A199" s="2" t="s">
        <v>450</v>
      </c>
      <c r="B199" s="2" t="s">
        <v>451</v>
      </c>
      <c r="C199" s="2" t="str">
        <f>TEXT(TransactionsTable500[[#This Row],[Order Date]],"mmm")</f>
        <v>Sep</v>
      </c>
      <c r="D199" s="2" t="s">
        <v>95</v>
      </c>
      <c r="E199" s="2" t="s">
        <v>23</v>
      </c>
      <c r="F199" s="2" t="s">
        <v>24</v>
      </c>
      <c r="G199" s="2" t="s">
        <v>52</v>
      </c>
      <c r="H199" s="2" t="s">
        <v>26</v>
      </c>
      <c r="I199" s="2" t="s">
        <v>27</v>
      </c>
      <c r="J199" s="2">
        <v>1</v>
      </c>
      <c r="K199" s="3">
        <v>4.9800000000000004</v>
      </c>
      <c r="L199" s="3">
        <v>4.9800000000000004</v>
      </c>
      <c r="M199" s="4">
        <v>0</v>
      </c>
      <c r="N199" s="3">
        <v>0</v>
      </c>
      <c r="O199" s="3">
        <v>4.9800000000000004</v>
      </c>
      <c r="P199" s="3">
        <v>2.0699999999999998</v>
      </c>
      <c r="Q199" s="3">
        <v>2.91</v>
      </c>
      <c r="R199" s="2" t="s">
        <v>48</v>
      </c>
      <c r="S199" s="2" t="s">
        <v>29</v>
      </c>
      <c r="T199" s="2" t="s">
        <v>90</v>
      </c>
      <c r="U199" s="2">
        <v>3</v>
      </c>
    </row>
    <row r="200" spans="1:21" x14ac:dyDescent="0.25">
      <c r="A200" s="2" t="s">
        <v>452</v>
      </c>
      <c r="B200" s="2" t="s">
        <v>453</v>
      </c>
      <c r="C200" s="2" t="str">
        <f>TEXT(TransactionsTable500[[#This Row],[Order Date]],"mmm")</f>
        <v>Sep</v>
      </c>
      <c r="D200" s="2" t="s">
        <v>69</v>
      </c>
      <c r="E200" s="2" t="s">
        <v>70</v>
      </c>
      <c r="F200" s="2" t="s">
        <v>44</v>
      </c>
      <c r="G200" s="2" t="s">
        <v>71</v>
      </c>
      <c r="H200" s="2" t="s">
        <v>228</v>
      </c>
      <c r="I200" s="2" t="s">
        <v>65</v>
      </c>
      <c r="J200" s="2">
        <v>1</v>
      </c>
      <c r="K200" s="3">
        <v>3.39</v>
      </c>
      <c r="L200" s="3">
        <v>3.39</v>
      </c>
      <c r="M200" s="4">
        <v>0</v>
      </c>
      <c r="N200" s="3">
        <v>0</v>
      </c>
      <c r="O200" s="3">
        <v>3.39</v>
      </c>
      <c r="P200" s="3">
        <v>1.18</v>
      </c>
      <c r="Q200" s="3">
        <v>2.21</v>
      </c>
      <c r="R200" s="2" t="s">
        <v>48</v>
      </c>
      <c r="S200" s="2" t="s">
        <v>36</v>
      </c>
      <c r="T200" s="2" t="s">
        <v>37</v>
      </c>
      <c r="U200" s="2">
        <v>4</v>
      </c>
    </row>
    <row r="201" spans="1:21" x14ac:dyDescent="0.25">
      <c r="A201" s="2" t="s">
        <v>454</v>
      </c>
      <c r="B201" s="2" t="s">
        <v>455</v>
      </c>
      <c r="C201" s="2" t="str">
        <f>TEXT(TransactionsTable500[[#This Row],[Order Date]],"mmm")</f>
        <v>Sep</v>
      </c>
      <c r="D201" s="2" t="s">
        <v>55</v>
      </c>
      <c r="E201" s="2" t="s">
        <v>43</v>
      </c>
      <c r="F201" s="2" t="s">
        <v>44</v>
      </c>
      <c r="G201" s="2" t="s">
        <v>56</v>
      </c>
      <c r="H201" s="2" t="s">
        <v>169</v>
      </c>
      <c r="I201" s="2" t="s">
        <v>65</v>
      </c>
      <c r="J201" s="2">
        <v>1</v>
      </c>
      <c r="K201" s="3">
        <v>3.3</v>
      </c>
      <c r="L201" s="3">
        <v>3.3</v>
      </c>
      <c r="M201" s="4">
        <v>0</v>
      </c>
      <c r="N201" s="3">
        <v>0</v>
      </c>
      <c r="O201" s="3">
        <v>3.3</v>
      </c>
      <c r="P201" s="3">
        <v>1.3</v>
      </c>
      <c r="Q201" s="3">
        <v>2</v>
      </c>
      <c r="R201" s="2" t="s">
        <v>28</v>
      </c>
      <c r="S201" s="2" t="s">
        <v>87</v>
      </c>
      <c r="T201" s="2" t="s">
        <v>30</v>
      </c>
      <c r="U201" s="2">
        <v>5</v>
      </c>
    </row>
    <row r="202" spans="1:21" x14ac:dyDescent="0.25">
      <c r="A202" s="2" t="s">
        <v>456</v>
      </c>
      <c r="B202" s="2" t="s">
        <v>457</v>
      </c>
      <c r="C202" s="2" t="str">
        <f>TEXT(TransactionsTable500[[#This Row],[Order Date]],"mmm")</f>
        <v>Sep</v>
      </c>
      <c r="D202" s="2" t="s">
        <v>105</v>
      </c>
      <c r="E202" s="2" t="s">
        <v>61</v>
      </c>
      <c r="F202" s="2" t="s">
        <v>62</v>
      </c>
      <c r="G202" s="2" t="s">
        <v>85</v>
      </c>
      <c r="H202" s="2" t="s">
        <v>64</v>
      </c>
      <c r="I202" s="2" t="s">
        <v>65</v>
      </c>
      <c r="J202" s="2">
        <v>2</v>
      </c>
      <c r="K202" s="3">
        <v>2.44</v>
      </c>
      <c r="L202" s="3">
        <v>4.88</v>
      </c>
      <c r="M202" s="4">
        <v>0</v>
      </c>
      <c r="N202" s="3">
        <v>0</v>
      </c>
      <c r="O202" s="3">
        <v>4.88</v>
      </c>
      <c r="P202" s="3">
        <v>1.83</v>
      </c>
      <c r="Q202" s="3">
        <v>3.05</v>
      </c>
      <c r="R202" s="2" t="s">
        <v>28</v>
      </c>
      <c r="S202" s="2" t="s">
        <v>29</v>
      </c>
      <c r="T202" s="2" t="s">
        <v>30</v>
      </c>
      <c r="U202" s="2">
        <v>4</v>
      </c>
    </row>
    <row r="203" spans="1:21" x14ac:dyDescent="0.25">
      <c r="A203" s="2" t="s">
        <v>458</v>
      </c>
      <c r="B203" s="2" t="s">
        <v>459</v>
      </c>
      <c r="C203" s="2" t="str">
        <f>TEXT(TransactionsTable500[[#This Row],[Order Date]],"mmm")</f>
        <v>Sep</v>
      </c>
      <c r="D203" s="2" t="s">
        <v>32</v>
      </c>
      <c r="E203" s="2" t="s">
        <v>33</v>
      </c>
      <c r="F203" s="2" t="s">
        <v>34</v>
      </c>
      <c r="G203" s="2" t="s">
        <v>35</v>
      </c>
      <c r="H203" s="2" t="s">
        <v>77</v>
      </c>
      <c r="I203" s="2" t="s">
        <v>47</v>
      </c>
      <c r="J203" s="2">
        <v>1</v>
      </c>
      <c r="K203" s="3">
        <v>6.18</v>
      </c>
      <c r="L203" s="3">
        <v>6.18</v>
      </c>
      <c r="M203" s="4">
        <v>0</v>
      </c>
      <c r="N203" s="3">
        <v>0</v>
      </c>
      <c r="O203" s="3">
        <v>6.18</v>
      </c>
      <c r="P203" s="3">
        <v>2.06</v>
      </c>
      <c r="Q203" s="3">
        <v>4.12</v>
      </c>
      <c r="R203" s="2" t="s">
        <v>28</v>
      </c>
      <c r="S203" s="2" t="s">
        <v>29</v>
      </c>
      <c r="T203" s="2" t="s">
        <v>30</v>
      </c>
      <c r="U203" s="2">
        <v>5</v>
      </c>
    </row>
    <row r="204" spans="1:21" x14ac:dyDescent="0.25">
      <c r="A204" s="2" t="s">
        <v>460</v>
      </c>
      <c r="B204" s="2" t="s">
        <v>461</v>
      </c>
      <c r="C204" s="2" t="str">
        <f>TEXT(TransactionsTable500[[#This Row],[Order Date]],"mmm")</f>
        <v>Oct</v>
      </c>
      <c r="D204" s="2" t="s">
        <v>155</v>
      </c>
      <c r="E204" s="2" t="s">
        <v>61</v>
      </c>
      <c r="F204" s="2" t="s">
        <v>62</v>
      </c>
      <c r="G204" s="2" t="s">
        <v>156</v>
      </c>
      <c r="H204" s="2" t="s">
        <v>53</v>
      </c>
      <c r="I204" s="2" t="s">
        <v>27</v>
      </c>
      <c r="J204" s="2">
        <v>1</v>
      </c>
      <c r="K204" s="3">
        <v>3.76</v>
      </c>
      <c r="L204" s="3">
        <v>3.76</v>
      </c>
      <c r="M204" s="4">
        <v>0</v>
      </c>
      <c r="N204" s="3">
        <v>0</v>
      </c>
      <c r="O204" s="3">
        <v>3.76</v>
      </c>
      <c r="P204" s="3">
        <v>1.42</v>
      </c>
      <c r="Q204" s="3">
        <v>2.34</v>
      </c>
      <c r="R204" s="2" t="s">
        <v>48</v>
      </c>
      <c r="S204" s="2" t="s">
        <v>66</v>
      </c>
      <c r="T204" s="2" t="s">
        <v>30</v>
      </c>
      <c r="U204" s="2">
        <v>4</v>
      </c>
    </row>
    <row r="205" spans="1:21" x14ac:dyDescent="0.25">
      <c r="A205" s="2" t="s">
        <v>462</v>
      </c>
      <c r="B205" s="2" t="s">
        <v>463</v>
      </c>
      <c r="C205" s="2" t="str">
        <f>TEXT(TransactionsTable500[[#This Row],[Order Date]],"mmm")</f>
        <v>Oct</v>
      </c>
      <c r="D205" s="2" t="s">
        <v>177</v>
      </c>
      <c r="E205" s="2" t="s">
        <v>43</v>
      </c>
      <c r="F205" s="2" t="s">
        <v>44</v>
      </c>
      <c r="G205" s="2" t="s">
        <v>45</v>
      </c>
      <c r="H205" s="2" t="s">
        <v>231</v>
      </c>
      <c r="I205" s="2" t="s">
        <v>100</v>
      </c>
      <c r="J205" s="2">
        <v>1</v>
      </c>
      <c r="K205" s="3">
        <v>4.75</v>
      </c>
      <c r="L205" s="3">
        <v>4.75</v>
      </c>
      <c r="M205" s="4">
        <v>0</v>
      </c>
      <c r="N205" s="3">
        <v>0</v>
      </c>
      <c r="O205" s="3">
        <v>4.75</v>
      </c>
      <c r="P205" s="3">
        <v>1.53</v>
      </c>
      <c r="Q205" s="3">
        <v>3.22</v>
      </c>
      <c r="R205" s="2" t="s">
        <v>96</v>
      </c>
      <c r="S205" s="2" t="s">
        <v>29</v>
      </c>
      <c r="T205" s="2" t="s">
        <v>37</v>
      </c>
      <c r="U205" s="2">
        <v>3</v>
      </c>
    </row>
    <row r="206" spans="1:21" x14ac:dyDescent="0.25">
      <c r="A206" s="2" t="s">
        <v>464</v>
      </c>
      <c r="B206" s="2" t="s">
        <v>463</v>
      </c>
      <c r="C206" s="2" t="str">
        <f>TEXT(TransactionsTable500[[#This Row],[Order Date]],"mmm")</f>
        <v>Oct</v>
      </c>
      <c r="D206" s="2" t="s">
        <v>80</v>
      </c>
      <c r="E206" s="2" t="s">
        <v>23</v>
      </c>
      <c r="F206" s="2" t="s">
        <v>24</v>
      </c>
      <c r="G206" s="2" t="s">
        <v>81</v>
      </c>
      <c r="H206" s="2" t="s">
        <v>57</v>
      </c>
      <c r="I206" s="2" t="s">
        <v>58</v>
      </c>
      <c r="J206" s="2">
        <v>3</v>
      </c>
      <c r="K206" s="3">
        <v>9.1999999999999993</v>
      </c>
      <c r="L206" s="3">
        <v>27.6</v>
      </c>
      <c r="M206" s="4">
        <v>0.05</v>
      </c>
      <c r="N206" s="3">
        <v>1.38</v>
      </c>
      <c r="O206" s="3">
        <v>26.22</v>
      </c>
      <c r="P206" s="3">
        <v>9.69</v>
      </c>
      <c r="Q206" s="3">
        <v>16.53</v>
      </c>
      <c r="R206" s="2" t="s">
        <v>48</v>
      </c>
      <c r="S206" s="2" t="s">
        <v>66</v>
      </c>
      <c r="T206" s="2" t="s">
        <v>90</v>
      </c>
      <c r="U206" s="2">
        <v>5</v>
      </c>
    </row>
    <row r="207" spans="1:21" x14ac:dyDescent="0.25">
      <c r="A207" s="2" t="s">
        <v>465</v>
      </c>
      <c r="B207" s="2" t="s">
        <v>466</v>
      </c>
      <c r="C207" s="2" t="str">
        <f>TEXT(TransactionsTable500[[#This Row],[Order Date]],"mmm")</f>
        <v>Oct</v>
      </c>
      <c r="D207" s="2" t="s">
        <v>183</v>
      </c>
      <c r="E207" s="2" t="s">
        <v>184</v>
      </c>
      <c r="F207" s="2" t="s">
        <v>62</v>
      </c>
      <c r="G207" s="2" t="s">
        <v>185</v>
      </c>
      <c r="H207" s="2" t="s">
        <v>203</v>
      </c>
      <c r="I207" s="2" t="s">
        <v>100</v>
      </c>
      <c r="J207" s="2">
        <v>2</v>
      </c>
      <c r="K207" s="3">
        <v>4.13</v>
      </c>
      <c r="L207" s="3">
        <v>8.26</v>
      </c>
      <c r="M207" s="4">
        <v>0</v>
      </c>
      <c r="N207" s="3">
        <v>0</v>
      </c>
      <c r="O207" s="3">
        <v>8.26</v>
      </c>
      <c r="P207" s="3">
        <v>3.25</v>
      </c>
      <c r="Q207" s="3">
        <v>5.01</v>
      </c>
      <c r="R207" s="2" t="s">
        <v>48</v>
      </c>
      <c r="S207" s="2" t="s">
        <v>29</v>
      </c>
      <c r="T207" s="2" t="s">
        <v>30</v>
      </c>
      <c r="U207" s="2">
        <v>4</v>
      </c>
    </row>
    <row r="208" spans="1:21" x14ac:dyDescent="0.25">
      <c r="A208" s="2" t="s">
        <v>467</v>
      </c>
      <c r="B208" s="2" t="s">
        <v>466</v>
      </c>
      <c r="C208" s="2" t="str">
        <f>TEXT(TransactionsTable500[[#This Row],[Order Date]],"mmm")</f>
        <v>Oct</v>
      </c>
      <c r="D208" s="2" t="s">
        <v>221</v>
      </c>
      <c r="E208" s="2" t="s">
        <v>61</v>
      </c>
      <c r="F208" s="2" t="s">
        <v>62</v>
      </c>
      <c r="G208" s="2" t="s">
        <v>63</v>
      </c>
      <c r="H208" s="2" t="s">
        <v>46</v>
      </c>
      <c r="I208" s="2" t="s">
        <v>47</v>
      </c>
      <c r="J208" s="2">
        <v>4</v>
      </c>
      <c r="K208" s="3">
        <v>8.56</v>
      </c>
      <c r="L208" s="3">
        <v>34.24</v>
      </c>
      <c r="M208" s="4">
        <v>0</v>
      </c>
      <c r="N208" s="3">
        <v>0</v>
      </c>
      <c r="O208" s="3">
        <v>34.24</v>
      </c>
      <c r="P208" s="3">
        <v>13.5</v>
      </c>
      <c r="Q208" s="3">
        <v>20.74</v>
      </c>
      <c r="R208" s="2" t="s">
        <v>96</v>
      </c>
      <c r="S208" s="2" t="s">
        <v>87</v>
      </c>
      <c r="T208" s="2" t="s">
        <v>30</v>
      </c>
      <c r="U208" s="2">
        <v>4</v>
      </c>
    </row>
    <row r="209" spans="1:21" x14ac:dyDescent="0.25">
      <c r="A209" s="2" t="s">
        <v>468</v>
      </c>
      <c r="B209" s="2" t="s">
        <v>469</v>
      </c>
      <c r="C209" s="2" t="str">
        <f>TEXT(TransactionsTable500[[#This Row],[Order Date]],"mmm")</f>
        <v>Oct</v>
      </c>
      <c r="D209" s="2" t="s">
        <v>40</v>
      </c>
      <c r="E209" s="2" t="s">
        <v>33</v>
      </c>
      <c r="F209" s="2" t="s">
        <v>34</v>
      </c>
      <c r="G209" s="2" t="s">
        <v>35</v>
      </c>
      <c r="H209" s="2" t="s">
        <v>157</v>
      </c>
      <c r="I209" s="2" t="s">
        <v>47</v>
      </c>
      <c r="J209" s="2">
        <v>1</v>
      </c>
      <c r="K209" s="3">
        <v>7.82</v>
      </c>
      <c r="L209" s="3">
        <v>7.82</v>
      </c>
      <c r="M209" s="4">
        <v>0</v>
      </c>
      <c r="N209" s="3">
        <v>0</v>
      </c>
      <c r="O209" s="3">
        <v>7.82</v>
      </c>
      <c r="P209" s="3">
        <v>3.16</v>
      </c>
      <c r="Q209" s="3">
        <v>4.66</v>
      </c>
      <c r="R209" s="2" t="s">
        <v>48</v>
      </c>
      <c r="S209" s="2" t="s">
        <v>87</v>
      </c>
      <c r="T209" s="2" t="s">
        <v>30</v>
      </c>
      <c r="U209" s="2">
        <v>5</v>
      </c>
    </row>
    <row r="210" spans="1:21" x14ac:dyDescent="0.25">
      <c r="A210" s="2" t="s">
        <v>470</v>
      </c>
      <c r="B210" s="2" t="s">
        <v>471</v>
      </c>
      <c r="C210" s="2" t="str">
        <f>TEXT(TransactionsTable500[[#This Row],[Order Date]],"mmm")</f>
        <v>Oct</v>
      </c>
      <c r="D210" s="2" t="s">
        <v>69</v>
      </c>
      <c r="E210" s="2" t="s">
        <v>70</v>
      </c>
      <c r="F210" s="2" t="s">
        <v>44</v>
      </c>
      <c r="G210" s="2" t="s">
        <v>71</v>
      </c>
      <c r="H210" s="2" t="s">
        <v>72</v>
      </c>
      <c r="I210" s="2" t="s">
        <v>58</v>
      </c>
      <c r="J210" s="2">
        <v>5</v>
      </c>
      <c r="K210" s="3">
        <v>14.99</v>
      </c>
      <c r="L210" s="3">
        <v>74.95</v>
      </c>
      <c r="M210" s="4">
        <v>0.1</v>
      </c>
      <c r="N210" s="3">
        <v>7.5</v>
      </c>
      <c r="O210" s="3">
        <v>67.45</v>
      </c>
      <c r="P210" s="3">
        <v>24.06</v>
      </c>
      <c r="Q210" s="3">
        <v>43.39</v>
      </c>
      <c r="R210" s="2" t="s">
        <v>28</v>
      </c>
      <c r="S210" s="2" t="s">
        <v>29</v>
      </c>
      <c r="T210" s="2" t="s">
        <v>30</v>
      </c>
      <c r="U210" s="2">
        <v>5</v>
      </c>
    </row>
    <row r="211" spans="1:21" x14ac:dyDescent="0.25">
      <c r="A211" s="2" t="s">
        <v>472</v>
      </c>
      <c r="B211" s="2" t="s">
        <v>473</v>
      </c>
      <c r="C211" s="2" t="str">
        <f>TEXT(TransactionsTable500[[#This Row],[Order Date]],"mmm")</f>
        <v>Oct</v>
      </c>
      <c r="D211" s="2" t="s">
        <v>32</v>
      </c>
      <c r="E211" s="2" t="s">
        <v>33</v>
      </c>
      <c r="F211" s="2" t="s">
        <v>34</v>
      </c>
      <c r="G211" s="2" t="s">
        <v>35</v>
      </c>
      <c r="H211" s="2" t="s">
        <v>103</v>
      </c>
      <c r="I211" s="2" t="s">
        <v>27</v>
      </c>
      <c r="J211" s="2">
        <v>1</v>
      </c>
      <c r="K211" s="3">
        <v>4.7</v>
      </c>
      <c r="L211" s="3">
        <v>4.7</v>
      </c>
      <c r="M211" s="4">
        <v>0</v>
      </c>
      <c r="N211" s="3">
        <v>0</v>
      </c>
      <c r="O211" s="3">
        <v>4.7</v>
      </c>
      <c r="P211" s="3">
        <v>1.81</v>
      </c>
      <c r="Q211" s="3">
        <v>2.89</v>
      </c>
      <c r="R211" s="2" t="s">
        <v>28</v>
      </c>
      <c r="S211" s="2" t="s">
        <v>29</v>
      </c>
      <c r="T211" s="2" t="s">
        <v>30</v>
      </c>
      <c r="U211" s="2">
        <v>4</v>
      </c>
    </row>
    <row r="212" spans="1:21" x14ac:dyDescent="0.25">
      <c r="A212" s="2" t="s">
        <v>474</v>
      </c>
      <c r="B212" s="2" t="s">
        <v>475</v>
      </c>
      <c r="C212" s="2" t="str">
        <f>TEXT(TransactionsTable500[[#This Row],[Order Date]],"mmm")</f>
        <v>Oct</v>
      </c>
      <c r="D212" s="2" t="s">
        <v>84</v>
      </c>
      <c r="E212" s="2" t="s">
        <v>61</v>
      </c>
      <c r="F212" s="2" t="s">
        <v>62</v>
      </c>
      <c r="G212" s="2" t="s">
        <v>85</v>
      </c>
      <c r="H212" s="2" t="s">
        <v>140</v>
      </c>
      <c r="I212" s="2" t="s">
        <v>58</v>
      </c>
      <c r="J212" s="2">
        <v>4</v>
      </c>
      <c r="K212" s="3">
        <v>13.04</v>
      </c>
      <c r="L212" s="3">
        <v>52.16</v>
      </c>
      <c r="M212" s="4">
        <v>0</v>
      </c>
      <c r="N212" s="3">
        <v>0</v>
      </c>
      <c r="O212" s="3">
        <v>52.16</v>
      </c>
      <c r="P212" s="3">
        <v>18.260000000000002</v>
      </c>
      <c r="Q212" s="3">
        <v>33.9</v>
      </c>
      <c r="R212" s="2" t="s">
        <v>28</v>
      </c>
      <c r="S212" s="2" t="s">
        <v>66</v>
      </c>
      <c r="T212" s="2" t="s">
        <v>30</v>
      </c>
      <c r="U212" s="2">
        <v>5</v>
      </c>
    </row>
    <row r="213" spans="1:21" x14ac:dyDescent="0.25">
      <c r="A213" s="2" t="s">
        <v>476</v>
      </c>
      <c r="B213" s="2" t="s">
        <v>475</v>
      </c>
      <c r="C213" s="2" t="str">
        <f>TEXT(TransactionsTable500[[#This Row],[Order Date]],"mmm")</f>
        <v>Oct</v>
      </c>
      <c r="D213" s="2" t="s">
        <v>105</v>
      </c>
      <c r="E213" s="2" t="s">
        <v>61</v>
      </c>
      <c r="F213" s="2" t="s">
        <v>62</v>
      </c>
      <c r="G213" s="2" t="s">
        <v>85</v>
      </c>
      <c r="H213" s="2" t="s">
        <v>106</v>
      </c>
      <c r="I213" s="2" t="s">
        <v>100</v>
      </c>
      <c r="J213" s="2">
        <v>1</v>
      </c>
      <c r="K213" s="3">
        <v>3.45</v>
      </c>
      <c r="L213" s="3">
        <v>3.45</v>
      </c>
      <c r="M213" s="4">
        <v>0</v>
      </c>
      <c r="N213" s="3">
        <v>0</v>
      </c>
      <c r="O213" s="3">
        <v>3.45</v>
      </c>
      <c r="P213" s="3">
        <v>1.21</v>
      </c>
      <c r="Q213" s="3">
        <v>2.2400000000000002</v>
      </c>
      <c r="R213" s="2" t="s">
        <v>28</v>
      </c>
      <c r="S213" s="2" t="s">
        <v>29</v>
      </c>
      <c r="T213" s="2" t="s">
        <v>30</v>
      </c>
      <c r="U213" s="2">
        <v>4</v>
      </c>
    </row>
    <row r="214" spans="1:21" x14ac:dyDescent="0.25">
      <c r="A214" s="2" t="s">
        <v>477</v>
      </c>
      <c r="B214" s="2" t="s">
        <v>478</v>
      </c>
      <c r="C214" s="2" t="str">
        <f>TEXT(TransactionsTable500[[#This Row],[Order Date]],"mmm")</f>
        <v>Oct</v>
      </c>
      <c r="D214" s="2" t="s">
        <v>155</v>
      </c>
      <c r="E214" s="2" t="s">
        <v>61</v>
      </c>
      <c r="F214" s="2" t="s">
        <v>62</v>
      </c>
      <c r="G214" s="2" t="s">
        <v>156</v>
      </c>
      <c r="H214" s="2" t="s">
        <v>228</v>
      </c>
      <c r="I214" s="2" t="s">
        <v>65</v>
      </c>
      <c r="J214" s="2">
        <v>1</v>
      </c>
      <c r="K214" s="3">
        <v>3.33</v>
      </c>
      <c r="L214" s="3">
        <v>3.33</v>
      </c>
      <c r="M214" s="4">
        <v>0</v>
      </c>
      <c r="N214" s="3">
        <v>0</v>
      </c>
      <c r="O214" s="3">
        <v>3.33</v>
      </c>
      <c r="P214" s="3">
        <v>1.33</v>
      </c>
      <c r="Q214" s="3">
        <v>2</v>
      </c>
      <c r="R214" s="2" t="s">
        <v>48</v>
      </c>
      <c r="S214" s="2" t="s">
        <v>29</v>
      </c>
      <c r="T214" s="2" t="s">
        <v>30</v>
      </c>
      <c r="U214" s="2">
        <v>4</v>
      </c>
    </row>
    <row r="215" spans="1:21" x14ac:dyDescent="0.25">
      <c r="A215" s="2" t="s">
        <v>479</v>
      </c>
      <c r="B215" s="2" t="s">
        <v>480</v>
      </c>
      <c r="C215" s="2" t="str">
        <f>TEXT(TransactionsTable500[[#This Row],[Order Date]],"mmm")</f>
        <v>Oct</v>
      </c>
      <c r="D215" s="2" t="s">
        <v>105</v>
      </c>
      <c r="E215" s="2" t="s">
        <v>61</v>
      </c>
      <c r="F215" s="2" t="s">
        <v>62</v>
      </c>
      <c r="G215" s="2" t="s">
        <v>85</v>
      </c>
      <c r="H215" s="2" t="s">
        <v>203</v>
      </c>
      <c r="I215" s="2" t="s">
        <v>100</v>
      </c>
      <c r="J215" s="2">
        <v>3</v>
      </c>
      <c r="K215" s="3">
        <v>4.17</v>
      </c>
      <c r="L215" s="3">
        <v>12.51</v>
      </c>
      <c r="M215" s="4">
        <v>0</v>
      </c>
      <c r="N215" s="3">
        <v>0</v>
      </c>
      <c r="O215" s="3">
        <v>12.51</v>
      </c>
      <c r="P215" s="3">
        <v>4.5</v>
      </c>
      <c r="Q215" s="3">
        <v>8.01</v>
      </c>
      <c r="R215" s="2" t="s">
        <v>28</v>
      </c>
      <c r="S215" s="2" t="s">
        <v>87</v>
      </c>
      <c r="T215" s="2" t="s">
        <v>30</v>
      </c>
      <c r="U215" s="2">
        <v>5</v>
      </c>
    </row>
    <row r="216" spans="1:21" x14ac:dyDescent="0.25">
      <c r="A216" s="2" t="s">
        <v>481</v>
      </c>
      <c r="B216" s="2" t="s">
        <v>482</v>
      </c>
      <c r="C216" s="2" t="str">
        <f>TEXT(TransactionsTable500[[#This Row],[Order Date]],"mmm")</f>
        <v>Oct</v>
      </c>
      <c r="D216" s="2" t="s">
        <v>42</v>
      </c>
      <c r="E216" s="2" t="s">
        <v>43</v>
      </c>
      <c r="F216" s="2" t="s">
        <v>44</v>
      </c>
      <c r="G216" s="2" t="s">
        <v>45</v>
      </c>
      <c r="H216" s="2" t="s">
        <v>203</v>
      </c>
      <c r="I216" s="2" t="s">
        <v>100</v>
      </c>
      <c r="J216" s="2">
        <v>1</v>
      </c>
      <c r="K216" s="3">
        <v>4.24</v>
      </c>
      <c r="L216" s="3">
        <v>4.24</v>
      </c>
      <c r="M216" s="4">
        <v>0.05</v>
      </c>
      <c r="N216" s="3">
        <v>0.21</v>
      </c>
      <c r="O216" s="3">
        <v>4.03</v>
      </c>
      <c r="P216" s="3">
        <v>1.48</v>
      </c>
      <c r="Q216" s="3">
        <v>2.5499999999999998</v>
      </c>
      <c r="R216" s="2" t="s">
        <v>96</v>
      </c>
      <c r="S216" s="2" t="s">
        <v>36</v>
      </c>
      <c r="T216" s="2" t="s">
        <v>30</v>
      </c>
      <c r="U216" s="2">
        <v>4</v>
      </c>
    </row>
    <row r="217" spans="1:21" x14ac:dyDescent="0.25">
      <c r="A217" s="2" t="s">
        <v>483</v>
      </c>
      <c r="B217" s="2" t="s">
        <v>484</v>
      </c>
      <c r="C217" s="2" t="str">
        <f>TEXT(TransactionsTable500[[#This Row],[Order Date]],"mmm")</f>
        <v>Oct</v>
      </c>
      <c r="D217" s="2" t="s">
        <v>221</v>
      </c>
      <c r="E217" s="2" t="s">
        <v>61</v>
      </c>
      <c r="F217" s="2" t="s">
        <v>62</v>
      </c>
      <c r="G217" s="2" t="s">
        <v>63</v>
      </c>
      <c r="H217" s="2" t="s">
        <v>203</v>
      </c>
      <c r="I217" s="2" t="s">
        <v>100</v>
      </c>
      <c r="J217" s="2">
        <v>5</v>
      </c>
      <c r="K217" s="3">
        <v>4.34</v>
      </c>
      <c r="L217" s="3">
        <v>21.7</v>
      </c>
      <c r="M217" s="4">
        <v>0.05</v>
      </c>
      <c r="N217" s="3">
        <v>1.08</v>
      </c>
      <c r="O217" s="3">
        <v>20.62</v>
      </c>
      <c r="P217" s="3">
        <v>7.81</v>
      </c>
      <c r="Q217" s="3">
        <v>12.81</v>
      </c>
      <c r="R217" s="2" t="s">
        <v>96</v>
      </c>
      <c r="S217" s="2" t="s">
        <v>29</v>
      </c>
      <c r="T217" s="2" t="s">
        <v>30</v>
      </c>
      <c r="U217" s="2">
        <v>4</v>
      </c>
    </row>
    <row r="218" spans="1:21" x14ac:dyDescent="0.25">
      <c r="A218" s="2" t="s">
        <v>485</v>
      </c>
      <c r="B218" s="2" t="s">
        <v>486</v>
      </c>
      <c r="C218" s="2" t="str">
        <f>TEXT(TransactionsTable500[[#This Row],[Order Date]],"mmm")</f>
        <v>Oct</v>
      </c>
      <c r="D218" s="2" t="s">
        <v>183</v>
      </c>
      <c r="E218" s="2" t="s">
        <v>184</v>
      </c>
      <c r="F218" s="2" t="s">
        <v>62</v>
      </c>
      <c r="G218" s="2" t="s">
        <v>185</v>
      </c>
      <c r="H218" s="2" t="s">
        <v>228</v>
      </c>
      <c r="I218" s="2" t="s">
        <v>65</v>
      </c>
      <c r="J218" s="2">
        <v>4</v>
      </c>
      <c r="K218" s="3">
        <v>3.53</v>
      </c>
      <c r="L218" s="3">
        <v>14.12</v>
      </c>
      <c r="M218" s="4">
        <v>0</v>
      </c>
      <c r="N218" s="3">
        <v>0</v>
      </c>
      <c r="O218" s="3">
        <v>14.12</v>
      </c>
      <c r="P218" s="3">
        <v>5.34</v>
      </c>
      <c r="Q218" s="3">
        <v>8.7799999999999994</v>
      </c>
      <c r="R218" s="2" t="s">
        <v>28</v>
      </c>
      <c r="S218" s="2" t="s">
        <v>87</v>
      </c>
      <c r="T218" s="2" t="s">
        <v>37</v>
      </c>
      <c r="U218" s="2">
        <v>5</v>
      </c>
    </row>
    <row r="219" spans="1:21" x14ac:dyDescent="0.25">
      <c r="A219" s="2" t="s">
        <v>487</v>
      </c>
      <c r="B219" s="2" t="s">
        <v>488</v>
      </c>
      <c r="C219" s="2" t="str">
        <f>TEXT(TransactionsTable500[[#This Row],[Order Date]],"mmm")</f>
        <v>Oct</v>
      </c>
      <c r="D219" s="2" t="s">
        <v>69</v>
      </c>
      <c r="E219" s="2" t="s">
        <v>70</v>
      </c>
      <c r="F219" s="2" t="s">
        <v>44</v>
      </c>
      <c r="G219" s="2" t="s">
        <v>71</v>
      </c>
      <c r="H219" s="2" t="s">
        <v>53</v>
      </c>
      <c r="I219" s="2" t="s">
        <v>27</v>
      </c>
      <c r="J219" s="2">
        <v>3</v>
      </c>
      <c r="K219" s="3">
        <v>3.8</v>
      </c>
      <c r="L219" s="3">
        <v>11.4</v>
      </c>
      <c r="M219" s="4">
        <v>0</v>
      </c>
      <c r="N219" s="3">
        <v>0</v>
      </c>
      <c r="O219" s="3">
        <v>11.4</v>
      </c>
      <c r="P219" s="3">
        <v>4.63</v>
      </c>
      <c r="Q219" s="3">
        <v>6.77</v>
      </c>
      <c r="R219" s="2" t="s">
        <v>48</v>
      </c>
      <c r="S219" s="2" t="s">
        <v>66</v>
      </c>
      <c r="T219" s="2" t="s">
        <v>30</v>
      </c>
      <c r="U219" s="2">
        <v>5</v>
      </c>
    </row>
    <row r="220" spans="1:21" x14ac:dyDescent="0.25">
      <c r="A220" s="2" t="s">
        <v>489</v>
      </c>
      <c r="B220" s="2" t="s">
        <v>490</v>
      </c>
      <c r="C220" s="2" t="str">
        <f>TEXT(TransactionsTable500[[#This Row],[Order Date]],"mmm")</f>
        <v>Oct</v>
      </c>
      <c r="D220" s="2" t="s">
        <v>42</v>
      </c>
      <c r="E220" s="2" t="s">
        <v>43</v>
      </c>
      <c r="F220" s="2" t="s">
        <v>44</v>
      </c>
      <c r="G220" s="2" t="s">
        <v>45</v>
      </c>
      <c r="H220" s="2" t="s">
        <v>64</v>
      </c>
      <c r="I220" s="2" t="s">
        <v>65</v>
      </c>
      <c r="J220" s="2">
        <v>2</v>
      </c>
      <c r="K220" s="3">
        <v>2.57</v>
      </c>
      <c r="L220" s="3">
        <v>5.14</v>
      </c>
      <c r="M220" s="4">
        <v>0</v>
      </c>
      <c r="N220" s="3">
        <v>0</v>
      </c>
      <c r="O220" s="3">
        <v>5.14</v>
      </c>
      <c r="P220" s="3">
        <v>2.09</v>
      </c>
      <c r="Q220" s="3">
        <v>3.05</v>
      </c>
      <c r="R220" s="2" t="s">
        <v>28</v>
      </c>
      <c r="S220" s="2" t="s">
        <v>36</v>
      </c>
      <c r="T220" s="2" t="s">
        <v>90</v>
      </c>
      <c r="U220" s="2">
        <v>5</v>
      </c>
    </row>
    <row r="221" spans="1:21" x14ac:dyDescent="0.25">
      <c r="A221" s="2" t="s">
        <v>491</v>
      </c>
      <c r="B221" s="2" t="s">
        <v>492</v>
      </c>
      <c r="C221" s="2" t="str">
        <f>TEXT(TransactionsTable500[[#This Row],[Order Date]],"mmm")</f>
        <v>Oct</v>
      </c>
      <c r="D221" s="2" t="s">
        <v>212</v>
      </c>
      <c r="E221" s="2" t="s">
        <v>184</v>
      </c>
      <c r="F221" s="2" t="s">
        <v>62</v>
      </c>
      <c r="G221" s="2" t="s">
        <v>213</v>
      </c>
      <c r="H221" s="2" t="s">
        <v>169</v>
      </c>
      <c r="I221" s="2" t="s">
        <v>65</v>
      </c>
      <c r="J221" s="2">
        <v>3</v>
      </c>
      <c r="K221" s="3">
        <v>3.26</v>
      </c>
      <c r="L221" s="3">
        <v>9.7799999999999994</v>
      </c>
      <c r="M221" s="4">
        <v>0</v>
      </c>
      <c r="N221" s="3">
        <v>0</v>
      </c>
      <c r="O221" s="3">
        <v>9.7799999999999994</v>
      </c>
      <c r="P221" s="3">
        <v>3.88</v>
      </c>
      <c r="Q221" s="3">
        <v>5.9</v>
      </c>
      <c r="R221" s="2" t="s">
        <v>48</v>
      </c>
      <c r="S221" s="2" t="s">
        <v>36</v>
      </c>
      <c r="T221" s="2" t="s">
        <v>30</v>
      </c>
      <c r="U221" s="2">
        <v>5</v>
      </c>
    </row>
    <row r="222" spans="1:21" x14ac:dyDescent="0.25">
      <c r="A222" s="2" t="s">
        <v>493</v>
      </c>
      <c r="B222" s="2" t="s">
        <v>494</v>
      </c>
      <c r="C222" s="2" t="str">
        <f>TEXT(TransactionsTable500[[#This Row],[Order Date]],"mmm")</f>
        <v>Oct</v>
      </c>
      <c r="D222" s="2" t="s">
        <v>127</v>
      </c>
      <c r="E222" s="2" t="s">
        <v>23</v>
      </c>
      <c r="F222" s="2" t="s">
        <v>24</v>
      </c>
      <c r="G222" s="2" t="s">
        <v>25</v>
      </c>
      <c r="H222" s="2" t="s">
        <v>169</v>
      </c>
      <c r="I222" s="2" t="s">
        <v>65</v>
      </c>
      <c r="J222" s="2">
        <v>2</v>
      </c>
      <c r="K222" s="3">
        <v>3.09</v>
      </c>
      <c r="L222" s="3">
        <v>6.18</v>
      </c>
      <c r="M222" s="4">
        <v>0.1</v>
      </c>
      <c r="N222" s="3">
        <v>0.62</v>
      </c>
      <c r="O222" s="3">
        <v>5.56</v>
      </c>
      <c r="P222" s="3">
        <v>1.87</v>
      </c>
      <c r="Q222" s="3">
        <v>3.69</v>
      </c>
      <c r="R222" s="2" t="s">
        <v>48</v>
      </c>
      <c r="S222" s="2" t="s">
        <v>87</v>
      </c>
      <c r="T222" s="2" t="s">
        <v>37</v>
      </c>
      <c r="U222" s="2">
        <v>4</v>
      </c>
    </row>
    <row r="223" spans="1:21" x14ac:dyDescent="0.25">
      <c r="A223" s="2" t="s">
        <v>495</v>
      </c>
      <c r="B223" s="2" t="s">
        <v>496</v>
      </c>
      <c r="C223" s="2" t="str">
        <f>TEXT(TransactionsTable500[[#This Row],[Order Date]],"mmm")</f>
        <v>Oct</v>
      </c>
      <c r="D223" s="2" t="s">
        <v>22</v>
      </c>
      <c r="E223" s="2" t="s">
        <v>23</v>
      </c>
      <c r="F223" s="2" t="s">
        <v>24</v>
      </c>
      <c r="G223" s="2" t="s">
        <v>25</v>
      </c>
      <c r="H223" s="2" t="s">
        <v>106</v>
      </c>
      <c r="I223" s="2" t="s">
        <v>100</v>
      </c>
      <c r="J223" s="2">
        <v>3</v>
      </c>
      <c r="K223" s="3">
        <v>3.4</v>
      </c>
      <c r="L223" s="3">
        <v>10.199999999999999</v>
      </c>
      <c r="M223" s="4">
        <v>0</v>
      </c>
      <c r="N223" s="3">
        <v>0</v>
      </c>
      <c r="O223" s="3">
        <v>10.199999999999999</v>
      </c>
      <c r="P223" s="3">
        <v>3.64</v>
      </c>
      <c r="Q223" s="3">
        <v>6.56</v>
      </c>
      <c r="R223" s="2" t="s">
        <v>48</v>
      </c>
      <c r="S223" s="2" t="s">
        <v>29</v>
      </c>
      <c r="T223" s="2" t="s">
        <v>30</v>
      </c>
      <c r="U223" s="2">
        <v>4</v>
      </c>
    </row>
    <row r="224" spans="1:21" x14ac:dyDescent="0.25">
      <c r="A224" s="2" t="s">
        <v>497</v>
      </c>
      <c r="B224" s="2" t="s">
        <v>498</v>
      </c>
      <c r="C224" s="2" t="str">
        <f>TEXT(TransactionsTable500[[#This Row],[Order Date]],"mmm")</f>
        <v>Oct</v>
      </c>
      <c r="D224" s="2" t="s">
        <v>42</v>
      </c>
      <c r="E224" s="2" t="s">
        <v>43</v>
      </c>
      <c r="F224" s="2" t="s">
        <v>44</v>
      </c>
      <c r="G224" s="2" t="s">
        <v>45</v>
      </c>
      <c r="H224" s="2" t="s">
        <v>231</v>
      </c>
      <c r="I224" s="2" t="s">
        <v>100</v>
      </c>
      <c r="J224" s="2">
        <v>1</v>
      </c>
      <c r="K224" s="3">
        <v>4.92</v>
      </c>
      <c r="L224" s="3">
        <v>4.92</v>
      </c>
      <c r="M224" s="4">
        <v>0.1</v>
      </c>
      <c r="N224" s="3">
        <v>0.49</v>
      </c>
      <c r="O224" s="3">
        <v>4.43</v>
      </c>
      <c r="P224" s="3">
        <v>1.54</v>
      </c>
      <c r="Q224" s="3">
        <v>2.89</v>
      </c>
      <c r="R224" s="2" t="s">
        <v>48</v>
      </c>
      <c r="S224" s="2" t="s">
        <v>66</v>
      </c>
      <c r="T224" s="2" t="s">
        <v>30</v>
      </c>
      <c r="U224" s="2">
        <v>5</v>
      </c>
    </row>
    <row r="225" spans="1:21" x14ac:dyDescent="0.25">
      <c r="A225" s="2" t="s">
        <v>499</v>
      </c>
      <c r="B225" s="2" t="s">
        <v>500</v>
      </c>
      <c r="C225" s="2" t="str">
        <f>TEXT(TransactionsTable500[[#This Row],[Order Date]],"mmm")</f>
        <v>Oct</v>
      </c>
      <c r="D225" s="2" t="s">
        <v>75</v>
      </c>
      <c r="E225" s="2" t="s">
        <v>70</v>
      </c>
      <c r="F225" s="2" t="s">
        <v>44</v>
      </c>
      <c r="G225" s="2" t="s">
        <v>76</v>
      </c>
      <c r="H225" s="2" t="s">
        <v>86</v>
      </c>
      <c r="I225" s="2" t="s">
        <v>27</v>
      </c>
      <c r="J225" s="2">
        <v>1</v>
      </c>
      <c r="K225" s="3">
        <v>4.8</v>
      </c>
      <c r="L225" s="3">
        <v>4.8</v>
      </c>
      <c r="M225" s="4">
        <v>0</v>
      </c>
      <c r="N225" s="3">
        <v>0</v>
      </c>
      <c r="O225" s="3">
        <v>4.8</v>
      </c>
      <c r="P225" s="3">
        <v>1.75</v>
      </c>
      <c r="Q225" s="3">
        <v>3.05</v>
      </c>
      <c r="R225" s="2" t="s">
        <v>28</v>
      </c>
      <c r="S225" s="2" t="s">
        <v>87</v>
      </c>
      <c r="T225" s="2" t="s">
        <v>37</v>
      </c>
      <c r="U225" s="2">
        <v>5</v>
      </c>
    </row>
    <row r="226" spans="1:21" x14ac:dyDescent="0.25">
      <c r="A226" s="2" t="s">
        <v>501</v>
      </c>
      <c r="B226" s="2" t="s">
        <v>500</v>
      </c>
      <c r="C226" s="2" t="str">
        <f>TEXT(TransactionsTable500[[#This Row],[Order Date]],"mmm")</f>
        <v>Oct</v>
      </c>
      <c r="D226" s="2" t="s">
        <v>270</v>
      </c>
      <c r="E226" s="2" t="s">
        <v>70</v>
      </c>
      <c r="F226" s="2" t="s">
        <v>44</v>
      </c>
      <c r="G226" s="2" t="s">
        <v>200</v>
      </c>
      <c r="H226" s="2" t="s">
        <v>53</v>
      </c>
      <c r="I226" s="2" t="s">
        <v>27</v>
      </c>
      <c r="J226" s="2">
        <v>1</v>
      </c>
      <c r="K226" s="3">
        <v>3.72</v>
      </c>
      <c r="L226" s="3">
        <v>3.72</v>
      </c>
      <c r="M226" s="4">
        <v>0</v>
      </c>
      <c r="N226" s="3">
        <v>0</v>
      </c>
      <c r="O226" s="3">
        <v>3.72</v>
      </c>
      <c r="P226" s="3">
        <v>1.22</v>
      </c>
      <c r="Q226" s="3">
        <v>2.5</v>
      </c>
      <c r="R226" s="2" t="s">
        <v>48</v>
      </c>
      <c r="S226" s="2" t="s">
        <v>87</v>
      </c>
      <c r="T226" s="2" t="s">
        <v>30</v>
      </c>
      <c r="U226" s="2">
        <v>5</v>
      </c>
    </row>
    <row r="227" spans="1:21" x14ac:dyDescent="0.25">
      <c r="A227" s="2" t="s">
        <v>502</v>
      </c>
      <c r="B227" s="2" t="s">
        <v>503</v>
      </c>
      <c r="C227" s="2" t="str">
        <f>TEXT(TransactionsTable500[[#This Row],[Order Date]],"mmm")</f>
        <v>Nov</v>
      </c>
      <c r="D227" s="2" t="s">
        <v>51</v>
      </c>
      <c r="E227" s="2" t="s">
        <v>23</v>
      </c>
      <c r="F227" s="2" t="s">
        <v>24</v>
      </c>
      <c r="G227" s="2" t="s">
        <v>52</v>
      </c>
      <c r="H227" s="2" t="s">
        <v>99</v>
      </c>
      <c r="I227" s="2" t="s">
        <v>100</v>
      </c>
      <c r="J227" s="2">
        <v>1</v>
      </c>
      <c r="K227" s="3">
        <v>4.46</v>
      </c>
      <c r="L227" s="3">
        <v>4.46</v>
      </c>
      <c r="M227" s="4">
        <v>0.05</v>
      </c>
      <c r="N227" s="3">
        <v>0.22</v>
      </c>
      <c r="O227" s="3">
        <v>4.24</v>
      </c>
      <c r="P227" s="3">
        <v>1.36</v>
      </c>
      <c r="Q227" s="3">
        <v>2.88</v>
      </c>
      <c r="R227" s="2" t="s">
        <v>96</v>
      </c>
      <c r="S227" s="2" t="s">
        <v>29</v>
      </c>
      <c r="T227" s="2" t="s">
        <v>90</v>
      </c>
      <c r="U227" s="2">
        <v>4</v>
      </c>
    </row>
    <row r="228" spans="1:21" x14ac:dyDescent="0.25">
      <c r="A228" s="2" t="s">
        <v>504</v>
      </c>
      <c r="B228" s="2" t="s">
        <v>503</v>
      </c>
      <c r="C228" s="2" t="str">
        <f>TEXT(TransactionsTable500[[#This Row],[Order Date]],"mmm")</f>
        <v>Nov</v>
      </c>
      <c r="D228" s="2" t="s">
        <v>221</v>
      </c>
      <c r="E228" s="2" t="s">
        <v>61</v>
      </c>
      <c r="F228" s="2" t="s">
        <v>62</v>
      </c>
      <c r="G228" s="2" t="s">
        <v>63</v>
      </c>
      <c r="H228" s="2" t="s">
        <v>122</v>
      </c>
      <c r="I228" s="2" t="s">
        <v>47</v>
      </c>
      <c r="J228" s="2">
        <v>1</v>
      </c>
      <c r="K228" s="3">
        <v>6.67</v>
      </c>
      <c r="L228" s="3">
        <v>6.67</v>
      </c>
      <c r="M228" s="4">
        <v>0.1</v>
      </c>
      <c r="N228" s="3">
        <v>0.67</v>
      </c>
      <c r="O228" s="3">
        <v>6</v>
      </c>
      <c r="P228" s="3">
        <v>2.0699999999999998</v>
      </c>
      <c r="Q228" s="3">
        <v>3.93</v>
      </c>
      <c r="R228" s="2" t="s">
        <v>28</v>
      </c>
      <c r="S228" s="2" t="s">
        <v>29</v>
      </c>
      <c r="T228" s="2" t="s">
        <v>90</v>
      </c>
      <c r="U228" s="2">
        <v>5</v>
      </c>
    </row>
    <row r="229" spans="1:21" x14ac:dyDescent="0.25">
      <c r="A229" s="2" t="s">
        <v>505</v>
      </c>
      <c r="B229" s="2" t="s">
        <v>506</v>
      </c>
      <c r="C229" s="2" t="str">
        <f>TEXT(TransactionsTable500[[#This Row],[Order Date]],"mmm")</f>
        <v>Nov</v>
      </c>
      <c r="D229" s="2" t="s">
        <v>127</v>
      </c>
      <c r="E229" s="2" t="s">
        <v>23</v>
      </c>
      <c r="F229" s="2" t="s">
        <v>24</v>
      </c>
      <c r="G229" s="2" t="s">
        <v>25</v>
      </c>
      <c r="H229" s="2" t="s">
        <v>169</v>
      </c>
      <c r="I229" s="2" t="s">
        <v>65</v>
      </c>
      <c r="J229" s="2">
        <v>4</v>
      </c>
      <c r="K229" s="3">
        <v>3.09</v>
      </c>
      <c r="L229" s="3">
        <v>12.36</v>
      </c>
      <c r="M229" s="4">
        <v>0</v>
      </c>
      <c r="N229" s="3">
        <v>0</v>
      </c>
      <c r="O229" s="3">
        <v>12.36</v>
      </c>
      <c r="P229" s="3">
        <v>4.4000000000000004</v>
      </c>
      <c r="Q229" s="3">
        <v>7.96</v>
      </c>
      <c r="R229" s="2" t="s">
        <v>28</v>
      </c>
      <c r="S229" s="2" t="s">
        <v>87</v>
      </c>
      <c r="T229" s="2" t="s">
        <v>90</v>
      </c>
      <c r="U229" s="2">
        <v>4</v>
      </c>
    </row>
    <row r="230" spans="1:21" x14ac:dyDescent="0.25">
      <c r="A230" s="2" t="s">
        <v>507</v>
      </c>
      <c r="B230" s="2" t="s">
        <v>508</v>
      </c>
      <c r="C230" s="2" t="str">
        <f>TEXT(TransactionsTable500[[#This Row],[Order Date]],"mmm")</f>
        <v>Nov</v>
      </c>
      <c r="D230" s="2" t="s">
        <v>109</v>
      </c>
      <c r="E230" s="2" t="s">
        <v>33</v>
      </c>
      <c r="F230" s="2" t="s">
        <v>34</v>
      </c>
      <c r="G230" s="2" t="s">
        <v>110</v>
      </c>
      <c r="H230" s="2" t="s">
        <v>122</v>
      </c>
      <c r="I230" s="2" t="s">
        <v>47</v>
      </c>
      <c r="J230" s="2">
        <v>1</v>
      </c>
      <c r="K230" s="3">
        <v>7.14</v>
      </c>
      <c r="L230" s="3">
        <v>7.14</v>
      </c>
      <c r="M230" s="4">
        <v>0</v>
      </c>
      <c r="N230" s="3">
        <v>0</v>
      </c>
      <c r="O230" s="3">
        <v>7.14</v>
      </c>
      <c r="P230" s="3">
        <v>2.7</v>
      </c>
      <c r="Q230" s="3">
        <v>4.4400000000000004</v>
      </c>
      <c r="R230" s="2" t="s">
        <v>28</v>
      </c>
      <c r="S230" s="2" t="s">
        <v>29</v>
      </c>
      <c r="T230" s="2" t="s">
        <v>90</v>
      </c>
      <c r="U230" s="2">
        <v>5</v>
      </c>
    </row>
    <row r="231" spans="1:21" x14ac:dyDescent="0.25">
      <c r="A231" s="2" t="s">
        <v>509</v>
      </c>
      <c r="B231" s="2" t="s">
        <v>508</v>
      </c>
      <c r="C231" s="2" t="str">
        <f>TEXT(TransactionsTable500[[#This Row],[Order Date]],"mmm")</f>
        <v>Nov</v>
      </c>
      <c r="D231" s="2" t="s">
        <v>139</v>
      </c>
      <c r="E231" s="2" t="s">
        <v>70</v>
      </c>
      <c r="F231" s="2" t="s">
        <v>44</v>
      </c>
      <c r="G231" s="2" t="s">
        <v>71</v>
      </c>
      <c r="H231" s="2" t="s">
        <v>106</v>
      </c>
      <c r="I231" s="2" t="s">
        <v>100</v>
      </c>
      <c r="J231" s="2">
        <v>1</v>
      </c>
      <c r="K231" s="3">
        <v>3.56</v>
      </c>
      <c r="L231" s="3">
        <v>3.56</v>
      </c>
      <c r="M231" s="4">
        <v>0.1</v>
      </c>
      <c r="N231" s="3">
        <v>0.36</v>
      </c>
      <c r="O231" s="3">
        <v>3.2</v>
      </c>
      <c r="P231" s="3">
        <v>1.1499999999999999</v>
      </c>
      <c r="Q231" s="3">
        <v>2.0499999999999998</v>
      </c>
      <c r="R231" s="2" t="s">
        <v>28</v>
      </c>
      <c r="S231" s="2" t="s">
        <v>66</v>
      </c>
      <c r="T231" s="2" t="s">
        <v>90</v>
      </c>
      <c r="U231" s="2">
        <v>4</v>
      </c>
    </row>
    <row r="232" spans="1:21" x14ac:dyDescent="0.25">
      <c r="A232" s="2" t="s">
        <v>510</v>
      </c>
      <c r="B232" s="2" t="s">
        <v>511</v>
      </c>
      <c r="C232" s="2" t="str">
        <f>TEXT(TransactionsTable500[[#This Row],[Order Date]],"mmm")</f>
        <v>Nov</v>
      </c>
      <c r="D232" s="2" t="s">
        <v>221</v>
      </c>
      <c r="E232" s="2" t="s">
        <v>61</v>
      </c>
      <c r="F232" s="2" t="s">
        <v>62</v>
      </c>
      <c r="G232" s="2" t="s">
        <v>63</v>
      </c>
      <c r="H232" s="2" t="s">
        <v>228</v>
      </c>
      <c r="I232" s="2" t="s">
        <v>65</v>
      </c>
      <c r="J232" s="2">
        <v>1</v>
      </c>
      <c r="K232" s="3">
        <v>3.55</v>
      </c>
      <c r="L232" s="3">
        <v>3.55</v>
      </c>
      <c r="M232" s="4">
        <v>0.1</v>
      </c>
      <c r="N232" s="3">
        <v>0.36</v>
      </c>
      <c r="O232" s="3">
        <v>3.19</v>
      </c>
      <c r="P232" s="3">
        <v>1.22</v>
      </c>
      <c r="Q232" s="3">
        <v>1.97</v>
      </c>
      <c r="R232" s="2" t="s">
        <v>96</v>
      </c>
      <c r="S232" s="2" t="s">
        <v>66</v>
      </c>
      <c r="T232" s="2" t="s">
        <v>37</v>
      </c>
      <c r="U232" s="2">
        <v>4</v>
      </c>
    </row>
    <row r="233" spans="1:21" x14ac:dyDescent="0.25">
      <c r="A233" s="2" t="s">
        <v>512</v>
      </c>
      <c r="B233" s="2" t="s">
        <v>511</v>
      </c>
      <c r="C233" s="2" t="str">
        <f>TEXT(TransactionsTable500[[#This Row],[Order Date]],"mmm")</f>
        <v>Nov</v>
      </c>
      <c r="D233" s="2" t="s">
        <v>40</v>
      </c>
      <c r="E233" s="2" t="s">
        <v>33</v>
      </c>
      <c r="F233" s="2" t="s">
        <v>34</v>
      </c>
      <c r="G233" s="2" t="s">
        <v>35</v>
      </c>
      <c r="H233" s="2" t="s">
        <v>77</v>
      </c>
      <c r="I233" s="2" t="s">
        <v>47</v>
      </c>
      <c r="J233" s="2">
        <v>1</v>
      </c>
      <c r="K233" s="3">
        <v>6.32</v>
      </c>
      <c r="L233" s="3">
        <v>6.32</v>
      </c>
      <c r="M233" s="4">
        <v>0</v>
      </c>
      <c r="N233" s="3">
        <v>0</v>
      </c>
      <c r="O233" s="3">
        <v>6.32</v>
      </c>
      <c r="P233" s="3">
        <v>2.37</v>
      </c>
      <c r="Q233" s="3">
        <v>3.95</v>
      </c>
      <c r="R233" s="2" t="s">
        <v>48</v>
      </c>
      <c r="S233" s="2" t="s">
        <v>29</v>
      </c>
      <c r="T233" s="2" t="s">
        <v>37</v>
      </c>
      <c r="U233" s="2">
        <v>5</v>
      </c>
    </row>
    <row r="234" spans="1:21" x14ac:dyDescent="0.25">
      <c r="A234" s="2" t="s">
        <v>513</v>
      </c>
      <c r="B234" s="2" t="s">
        <v>514</v>
      </c>
      <c r="C234" s="2" t="str">
        <f>TEXT(TransactionsTable500[[#This Row],[Order Date]],"mmm")</f>
        <v>Nov</v>
      </c>
      <c r="D234" s="2" t="s">
        <v>42</v>
      </c>
      <c r="E234" s="2" t="s">
        <v>43</v>
      </c>
      <c r="F234" s="2" t="s">
        <v>44</v>
      </c>
      <c r="G234" s="2" t="s">
        <v>45</v>
      </c>
      <c r="H234" s="2" t="s">
        <v>203</v>
      </c>
      <c r="I234" s="2" t="s">
        <v>100</v>
      </c>
      <c r="J234" s="2">
        <v>1</v>
      </c>
      <c r="K234" s="3">
        <v>4.1900000000000004</v>
      </c>
      <c r="L234" s="3">
        <v>4.1900000000000004</v>
      </c>
      <c r="M234" s="4">
        <v>0</v>
      </c>
      <c r="N234" s="3">
        <v>0</v>
      </c>
      <c r="O234" s="3">
        <v>4.1900000000000004</v>
      </c>
      <c r="P234" s="3">
        <v>1.36</v>
      </c>
      <c r="Q234" s="3">
        <v>2.83</v>
      </c>
      <c r="R234" s="2" t="s">
        <v>48</v>
      </c>
      <c r="S234" s="2" t="s">
        <v>36</v>
      </c>
      <c r="T234" s="2" t="s">
        <v>30</v>
      </c>
      <c r="U234" s="2">
        <v>5</v>
      </c>
    </row>
    <row r="235" spans="1:21" x14ac:dyDescent="0.25">
      <c r="A235" s="2" t="s">
        <v>515</v>
      </c>
      <c r="B235" s="2" t="s">
        <v>516</v>
      </c>
      <c r="C235" s="2" t="str">
        <f>TEXT(TransactionsTable500[[#This Row],[Order Date]],"mmm")</f>
        <v>Nov</v>
      </c>
      <c r="D235" s="2" t="s">
        <v>32</v>
      </c>
      <c r="E235" s="2" t="s">
        <v>33</v>
      </c>
      <c r="F235" s="2" t="s">
        <v>34</v>
      </c>
      <c r="G235" s="2" t="s">
        <v>35</v>
      </c>
      <c r="H235" s="2" t="s">
        <v>103</v>
      </c>
      <c r="I235" s="2" t="s">
        <v>27</v>
      </c>
      <c r="J235" s="2">
        <v>4</v>
      </c>
      <c r="K235" s="3">
        <v>5.1100000000000003</v>
      </c>
      <c r="L235" s="3">
        <v>20.440000000000001</v>
      </c>
      <c r="M235" s="4">
        <v>0.1</v>
      </c>
      <c r="N235" s="3">
        <v>2.04</v>
      </c>
      <c r="O235" s="3">
        <v>18.399999999999999</v>
      </c>
      <c r="P235" s="3">
        <v>6.18</v>
      </c>
      <c r="Q235" s="3">
        <v>12.22</v>
      </c>
      <c r="R235" s="2" t="s">
        <v>48</v>
      </c>
      <c r="S235" s="2" t="s">
        <v>29</v>
      </c>
      <c r="T235" s="2" t="s">
        <v>90</v>
      </c>
      <c r="U235" s="2">
        <v>5</v>
      </c>
    </row>
    <row r="236" spans="1:21" x14ac:dyDescent="0.25">
      <c r="A236" s="2" t="s">
        <v>517</v>
      </c>
      <c r="B236" s="2" t="s">
        <v>518</v>
      </c>
      <c r="C236" s="2" t="str">
        <f>TEXT(TransactionsTable500[[#This Row],[Order Date]],"mmm")</f>
        <v>Nov</v>
      </c>
      <c r="D236" s="2" t="s">
        <v>199</v>
      </c>
      <c r="E236" s="2" t="s">
        <v>70</v>
      </c>
      <c r="F236" s="2" t="s">
        <v>44</v>
      </c>
      <c r="G236" s="2" t="s">
        <v>200</v>
      </c>
      <c r="H236" s="2" t="s">
        <v>46</v>
      </c>
      <c r="I236" s="2" t="s">
        <v>47</v>
      </c>
      <c r="J236" s="2">
        <v>5</v>
      </c>
      <c r="K236" s="3">
        <v>8.01</v>
      </c>
      <c r="L236" s="3">
        <v>40.049999999999997</v>
      </c>
      <c r="M236" s="4">
        <v>0</v>
      </c>
      <c r="N236" s="3">
        <v>0</v>
      </c>
      <c r="O236" s="3">
        <v>40.049999999999997</v>
      </c>
      <c r="P236" s="3">
        <v>15.1</v>
      </c>
      <c r="Q236" s="3">
        <v>24.95</v>
      </c>
      <c r="R236" s="2" t="s">
        <v>48</v>
      </c>
      <c r="S236" s="2" t="s">
        <v>66</v>
      </c>
      <c r="T236" s="2" t="s">
        <v>90</v>
      </c>
      <c r="U236" s="2">
        <v>4</v>
      </c>
    </row>
    <row r="237" spans="1:21" x14ac:dyDescent="0.25">
      <c r="A237" s="2" t="s">
        <v>519</v>
      </c>
      <c r="B237" s="2" t="s">
        <v>520</v>
      </c>
      <c r="C237" s="2" t="str">
        <f>TEXT(TransactionsTable500[[#This Row],[Order Date]],"mmm")</f>
        <v>Nov</v>
      </c>
      <c r="D237" s="2" t="s">
        <v>270</v>
      </c>
      <c r="E237" s="2" t="s">
        <v>70</v>
      </c>
      <c r="F237" s="2" t="s">
        <v>44</v>
      </c>
      <c r="G237" s="2" t="s">
        <v>200</v>
      </c>
      <c r="H237" s="2" t="s">
        <v>106</v>
      </c>
      <c r="I237" s="2" t="s">
        <v>100</v>
      </c>
      <c r="J237" s="2">
        <v>1</v>
      </c>
      <c r="K237" s="3">
        <v>3.53</v>
      </c>
      <c r="L237" s="3">
        <v>3.53</v>
      </c>
      <c r="M237" s="4">
        <v>0</v>
      </c>
      <c r="N237" s="3">
        <v>0</v>
      </c>
      <c r="O237" s="3">
        <v>3.53</v>
      </c>
      <c r="P237" s="3">
        <v>1.1499999999999999</v>
      </c>
      <c r="Q237" s="3">
        <v>2.38</v>
      </c>
      <c r="R237" s="2" t="s">
        <v>28</v>
      </c>
      <c r="S237" s="2" t="s">
        <v>87</v>
      </c>
      <c r="T237" s="2" t="s">
        <v>90</v>
      </c>
      <c r="U237" s="2">
        <v>5</v>
      </c>
    </row>
    <row r="238" spans="1:21" x14ac:dyDescent="0.25">
      <c r="A238" s="2" t="s">
        <v>521</v>
      </c>
      <c r="B238" s="2" t="s">
        <v>520</v>
      </c>
      <c r="C238" s="2" t="str">
        <f>TEXT(TransactionsTable500[[#This Row],[Order Date]],"mmm")</f>
        <v>Nov</v>
      </c>
      <c r="D238" s="2" t="s">
        <v>22</v>
      </c>
      <c r="E238" s="2" t="s">
        <v>23</v>
      </c>
      <c r="F238" s="2" t="s">
        <v>24</v>
      </c>
      <c r="G238" s="2" t="s">
        <v>25</v>
      </c>
      <c r="H238" s="2" t="s">
        <v>72</v>
      </c>
      <c r="I238" s="2" t="s">
        <v>58</v>
      </c>
      <c r="J238" s="2">
        <v>1</v>
      </c>
      <c r="K238" s="3">
        <v>15.42</v>
      </c>
      <c r="L238" s="3">
        <v>15.42</v>
      </c>
      <c r="M238" s="4">
        <v>0</v>
      </c>
      <c r="N238" s="3">
        <v>0</v>
      </c>
      <c r="O238" s="3">
        <v>15.42</v>
      </c>
      <c r="P238" s="3">
        <v>5.89</v>
      </c>
      <c r="Q238" s="3">
        <v>9.5299999999999994</v>
      </c>
      <c r="R238" s="2" t="s">
        <v>96</v>
      </c>
      <c r="S238" s="2" t="s">
        <v>36</v>
      </c>
      <c r="T238" s="2" t="s">
        <v>30</v>
      </c>
      <c r="U238" s="2">
        <v>1</v>
      </c>
    </row>
    <row r="239" spans="1:21" x14ac:dyDescent="0.25">
      <c r="A239" s="2" t="s">
        <v>522</v>
      </c>
      <c r="B239" s="2" t="s">
        <v>523</v>
      </c>
      <c r="C239" s="2" t="str">
        <f>TEXT(TransactionsTable500[[#This Row],[Order Date]],"mmm")</f>
        <v>Nov</v>
      </c>
      <c r="D239" s="2" t="s">
        <v>32</v>
      </c>
      <c r="E239" s="2" t="s">
        <v>33</v>
      </c>
      <c r="F239" s="2" t="s">
        <v>34</v>
      </c>
      <c r="G239" s="2" t="s">
        <v>35</v>
      </c>
      <c r="H239" s="2" t="s">
        <v>103</v>
      </c>
      <c r="I239" s="2" t="s">
        <v>27</v>
      </c>
      <c r="J239" s="2">
        <v>2</v>
      </c>
      <c r="K239" s="3">
        <v>4.82</v>
      </c>
      <c r="L239" s="3">
        <v>9.64</v>
      </c>
      <c r="M239" s="4">
        <v>0</v>
      </c>
      <c r="N239" s="3">
        <v>0</v>
      </c>
      <c r="O239" s="3">
        <v>9.64</v>
      </c>
      <c r="P239" s="3">
        <v>3.25</v>
      </c>
      <c r="Q239" s="3">
        <v>6.39</v>
      </c>
      <c r="R239" s="2" t="s">
        <v>28</v>
      </c>
      <c r="S239" s="2" t="s">
        <v>29</v>
      </c>
      <c r="T239" s="2" t="s">
        <v>30</v>
      </c>
      <c r="U239" s="2">
        <v>5</v>
      </c>
    </row>
    <row r="240" spans="1:21" x14ac:dyDescent="0.25">
      <c r="A240" s="2" t="s">
        <v>524</v>
      </c>
      <c r="B240" s="2" t="s">
        <v>525</v>
      </c>
      <c r="C240" s="2" t="str">
        <f>TEXT(TransactionsTable500[[#This Row],[Order Date]],"mmm")</f>
        <v>Nov</v>
      </c>
      <c r="D240" s="2" t="s">
        <v>199</v>
      </c>
      <c r="E240" s="2" t="s">
        <v>70</v>
      </c>
      <c r="F240" s="2" t="s">
        <v>44</v>
      </c>
      <c r="G240" s="2" t="s">
        <v>200</v>
      </c>
      <c r="H240" s="2" t="s">
        <v>122</v>
      </c>
      <c r="I240" s="2" t="s">
        <v>47</v>
      </c>
      <c r="J240" s="2">
        <v>2</v>
      </c>
      <c r="K240" s="3">
        <v>7.19</v>
      </c>
      <c r="L240" s="3">
        <v>14.38</v>
      </c>
      <c r="M240" s="4">
        <v>0</v>
      </c>
      <c r="N240" s="3">
        <v>0</v>
      </c>
      <c r="O240" s="3">
        <v>14.38</v>
      </c>
      <c r="P240" s="3">
        <v>4.78</v>
      </c>
      <c r="Q240" s="3">
        <v>9.6</v>
      </c>
      <c r="R240" s="2" t="s">
        <v>48</v>
      </c>
      <c r="S240" s="2" t="s">
        <v>87</v>
      </c>
      <c r="T240" s="2" t="s">
        <v>30</v>
      </c>
      <c r="U240" s="2">
        <v>4</v>
      </c>
    </row>
    <row r="241" spans="1:21" x14ac:dyDescent="0.25">
      <c r="A241" s="2" t="s">
        <v>526</v>
      </c>
      <c r="B241" s="2" t="s">
        <v>527</v>
      </c>
      <c r="C241" s="2" t="str">
        <f>TEXT(TransactionsTable500[[#This Row],[Order Date]],"mmm")</f>
        <v>Nov</v>
      </c>
      <c r="D241" s="2" t="s">
        <v>183</v>
      </c>
      <c r="E241" s="2" t="s">
        <v>184</v>
      </c>
      <c r="F241" s="2" t="s">
        <v>62</v>
      </c>
      <c r="G241" s="2" t="s">
        <v>185</v>
      </c>
      <c r="H241" s="2" t="s">
        <v>122</v>
      </c>
      <c r="I241" s="2" t="s">
        <v>47</v>
      </c>
      <c r="J241" s="2">
        <v>1</v>
      </c>
      <c r="K241" s="3">
        <v>6.59</v>
      </c>
      <c r="L241" s="3">
        <v>6.59</v>
      </c>
      <c r="M241" s="4">
        <v>0</v>
      </c>
      <c r="N241" s="3">
        <v>0</v>
      </c>
      <c r="O241" s="3">
        <v>6.59</v>
      </c>
      <c r="P241" s="3">
        <v>2.65</v>
      </c>
      <c r="Q241" s="3">
        <v>3.94</v>
      </c>
      <c r="R241" s="2" t="s">
        <v>96</v>
      </c>
      <c r="S241" s="2" t="s">
        <v>29</v>
      </c>
      <c r="T241" s="2" t="s">
        <v>30</v>
      </c>
      <c r="U241" s="2">
        <v>4</v>
      </c>
    </row>
    <row r="242" spans="1:21" x14ac:dyDescent="0.25">
      <c r="A242" s="2" t="s">
        <v>528</v>
      </c>
      <c r="B242" s="2" t="s">
        <v>529</v>
      </c>
      <c r="C242" s="2" t="str">
        <f>TEXT(TransactionsTable500[[#This Row],[Order Date]],"mmm")</f>
        <v>Nov</v>
      </c>
      <c r="D242" s="2" t="s">
        <v>199</v>
      </c>
      <c r="E242" s="2" t="s">
        <v>70</v>
      </c>
      <c r="F242" s="2" t="s">
        <v>44</v>
      </c>
      <c r="G242" s="2" t="s">
        <v>200</v>
      </c>
      <c r="H242" s="2" t="s">
        <v>157</v>
      </c>
      <c r="I242" s="2" t="s">
        <v>47</v>
      </c>
      <c r="J242" s="2">
        <v>3</v>
      </c>
      <c r="K242" s="3">
        <v>7.73</v>
      </c>
      <c r="L242" s="3">
        <v>23.19</v>
      </c>
      <c r="M242" s="4">
        <v>0</v>
      </c>
      <c r="N242" s="3">
        <v>0</v>
      </c>
      <c r="O242" s="3">
        <v>23.19</v>
      </c>
      <c r="P242" s="3">
        <v>9.11</v>
      </c>
      <c r="Q242" s="3">
        <v>14.08</v>
      </c>
      <c r="R242" s="2" t="s">
        <v>96</v>
      </c>
      <c r="S242" s="2" t="s">
        <v>29</v>
      </c>
      <c r="T242" s="2" t="s">
        <v>37</v>
      </c>
      <c r="U242" s="2">
        <v>4</v>
      </c>
    </row>
    <row r="243" spans="1:21" x14ac:dyDescent="0.25">
      <c r="A243" s="2" t="s">
        <v>530</v>
      </c>
      <c r="B243" s="2" t="s">
        <v>531</v>
      </c>
      <c r="C243" s="2" t="str">
        <f>TEXT(TransactionsTable500[[#This Row],[Order Date]],"mmm")</f>
        <v>Nov</v>
      </c>
      <c r="D243" s="2" t="s">
        <v>155</v>
      </c>
      <c r="E243" s="2" t="s">
        <v>61</v>
      </c>
      <c r="F243" s="2" t="s">
        <v>62</v>
      </c>
      <c r="G243" s="2" t="s">
        <v>156</v>
      </c>
      <c r="H243" s="2" t="s">
        <v>26</v>
      </c>
      <c r="I243" s="2" t="s">
        <v>27</v>
      </c>
      <c r="J243" s="2">
        <v>3</v>
      </c>
      <c r="K243" s="3">
        <v>5.12</v>
      </c>
      <c r="L243" s="3">
        <v>15.36</v>
      </c>
      <c r="M243" s="4">
        <v>0</v>
      </c>
      <c r="N243" s="3">
        <v>0</v>
      </c>
      <c r="O243" s="3">
        <v>15.36</v>
      </c>
      <c r="P243" s="3">
        <v>5.51</v>
      </c>
      <c r="Q243" s="3">
        <v>9.85</v>
      </c>
      <c r="R243" s="2" t="s">
        <v>96</v>
      </c>
      <c r="S243" s="2" t="s">
        <v>29</v>
      </c>
      <c r="T243" s="2" t="s">
        <v>30</v>
      </c>
      <c r="U243" s="2">
        <v>3</v>
      </c>
    </row>
    <row r="244" spans="1:21" x14ac:dyDescent="0.25">
      <c r="A244" s="2" t="s">
        <v>532</v>
      </c>
      <c r="B244" s="2" t="s">
        <v>533</v>
      </c>
      <c r="C244" s="2" t="str">
        <f>TEXT(TransactionsTable500[[#This Row],[Order Date]],"mmm")</f>
        <v>Nov</v>
      </c>
      <c r="D244" s="2" t="s">
        <v>51</v>
      </c>
      <c r="E244" s="2" t="s">
        <v>23</v>
      </c>
      <c r="F244" s="2" t="s">
        <v>24</v>
      </c>
      <c r="G244" s="2" t="s">
        <v>52</v>
      </c>
      <c r="H244" s="2" t="s">
        <v>140</v>
      </c>
      <c r="I244" s="2" t="s">
        <v>58</v>
      </c>
      <c r="J244" s="2">
        <v>1</v>
      </c>
      <c r="K244" s="3">
        <v>12.12</v>
      </c>
      <c r="L244" s="3">
        <v>12.12</v>
      </c>
      <c r="M244" s="4">
        <v>0</v>
      </c>
      <c r="N244" s="3">
        <v>0</v>
      </c>
      <c r="O244" s="3">
        <v>12.12</v>
      </c>
      <c r="P244" s="3">
        <v>4.91</v>
      </c>
      <c r="Q244" s="3">
        <v>7.21</v>
      </c>
      <c r="R244" s="2" t="s">
        <v>28</v>
      </c>
      <c r="S244" s="2" t="s">
        <v>29</v>
      </c>
      <c r="T244" s="2" t="s">
        <v>30</v>
      </c>
      <c r="U244" s="2">
        <v>5</v>
      </c>
    </row>
    <row r="245" spans="1:21" x14ac:dyDescent="0.25">
      <c r="A245" s="2" t="s">
        <v>534</v>
      </c>
      <c r="B245" s="2" t="s">
        <v>535</v>
      </c>
      <c r="C245" s="2" t="str">
        <f>TEXT(TransactionsTable500[[#This Row],[Order Date]],"mmm")</f>
        <v>Nov</v>
      </c>
      <c r="D245" s="2" t="s">
        <v>115</v>
      </c>
      <c r="E245" s="2" t="s">
        <v>70</v>
      </c>
      <c r="F245" s="2" t="s">
        <v>44</v>
      </c>
      <c r="G245" s="2" t="s">
        <v>76</v>
      </c>
      <c r="H245" s="2" t="s">
        <v>122</v>
      </c>
      <c r="I245" s="2" t="s">
        <v>47</v>
      </c>
      <c r="J245" s="2">
        <v>3</v>
      </c>
      <c r="K245" s="3">
        <v>6.67</v>
      </c>
      <c r="L245" s="3">
        <v>20.010000000000002</v>
      </c>
      <c r="M245" s="4">
        <v>0</v>
      </c>
      <c r="N245" s="3">
        <v>0</v>
      </c>
      <c r="O245" s="3">
        <v>20.010000000000002</v>
      </c>
      <c r="P245" s="3">
        <v>6.9</v>
      </c>
      <c r="Q245" s="3">
        <v>13.11</v>
      </c>
      <c r="R245" s="2" t="s">
        <v>28</v>
      </c>
      <c r="S245" s="2" t="s">
        <v>29</v>
      </c>
      <c r="T245" s="2" t="s">
        <v>90</v>
      </c>
      <c r="U245" s="2">
        <v>4</v>
      </c>
    </row>
    <row r="246" spans="1:21" x14ac:dyDescent="0.25">
      <c r="A246" s="2" t="s">
        <v>536</v>
      </c>
      <c r="B246" s="2" t="s">
        <v>537</v>
      </c>
      <c r="C246" s="2" t="str">
        <f>TEXT(TransactionsTable500[[#This Row],[Order Date]],"mmm")</f>
        <v>Nov</v>
      </c>
      <c r="D246" s="2" t="s">
        <v>60</v>
      </c>
      <c r="E246" s="2" t="s">
        <v>61</v>
      </c>
      <c r="F246" s="2" t="s">
        <v>62</v>
      </c>
      <c r="G246" s="2" t="s">
        <v>63</v>
      </c>
      <c r="H246" s="2" t="s">
        <v>46</v>
      </c>
      <c r="I246" s="2" t="s">
        <v>47</v>
      </c>
      <c r="J246" s="2">
        <v>1</v>
      </c>
      <c r="K246" s="3">
        <v>8.59</v>
      </c>
      <c r="L246" s="3">
        <v>8.59</v>
      </c>
      <c r="M246" s="4">
        <v>0</v>
      </c>
      <c r="N246" s="3">
        <v>0</v>
      </c>
      <c r="O246" s="3">
        <v>8.59</v>
      </c>
      <c r="P246" s="3">
        <v>3.34</v>
      </c>
      <c r="Q246" s="3">
        <v>5.25</v>
      </c>
      <c r="R246" s="2" t="s">
        <v>28</v>
      </c>
      <c r="S246" s="2" t="s">
        <v>66</v>
      </c>
      <c r="T246" s="2" t="s">
        <v>30</v>
      </c>
      <c r="U246" s="2">
        <v>4</v>
      </c>
    </row>
    <row r="247" spans="1:21" x14ac:dyDescent="0.25">
      <c r="A247" s="2" t="s">
        <v>538</v>
      </c>
      <c r="B247" s="2" t="s">
        <v>537</v>
      </c>
      <c r="C247" s="2" t="str">
        <f>TEXT(TransactionsTable500[[#This Row],[Order Date]],"mmm")</f>
        <v>Nov</v>
      </c>
      <c r="D247" s="2" t="s">
        <v>42</v>
      </c>
      <c r="E247" s="2" t="s">
        <v>43</v>
      </c>
      <c r="F247" s="2" t="s">
        <v>44</v>
      </c>
      <c r="G247" s="2" t="s">
        <v>45</v>
      </c>
      <c r="H247" s="2" t="s">
        <v>53</v>
      </c>
      <c r="I247" s="2" t="s">
        <v>27</v>
      </c>
      <c r="J247" s="2">
        <v>1</v>
      </c>
      <c r="K247" s="3">
        <v>3.77</v>
      </c>
      <c r="L247" s="3">
        <v>3.77</v>
      </c>
      <c r="M247" s="4">
        <v>0.1</v>
      </c>
      <c r="N247" s="3">
        <v>0.38</v>
      </c>
      <c r="O247" s="3">
        <v>3.39</v>
      </c>
      <c r="P247" s="3">
        <v>1.25</v>
      </c>
      <c r="Q247" s="3">
        <v>2.14</v>
      </c>
      <c r="R247" s="2" t="s">
        <v>28</v>
      </c>
      <c r="S247" s="2" t="s">
        <v>66</v>
      </c>
      <c r="T247" s="2" t="s">
        <v>30</v>
      </c>
      <c r="U247" s="2">
        <v>5</v>
      </c>
    </row>
    <row r="248" spans="1:21" x14ac:dyDescent="0.25">
      <c r="A248" s="2" t="s">
        <v>539</v>
      </c>
      <c r="B248" s="2" t="s">
        <v>540</v>
      </c>
      <c r="C248" s="2" t="str">
        <f>TEXT(TransactionsTable500[[#This Row],[Order Date]],"mmm")</f>
        <v>Nov</v>
      </c>
      <c r="D248" s="2" t="s">
        <v>183</v>
      </c>
      <c r="E248" s="2" t="s">
        <v>184</v>
      </c>
      <c r="F248" s="2" t="s">
        <v>62</v>
      </c>
      <c r="G248" s="2" t="s">
        <v>185</v>
      </c>
      <c r="H248" s="2" t="s">
        <v>169</v>
      </c>
      <c r="I248" s="2" t="s">
        <v>65</v>
      </c>
      <c r="J248" s="2">
        <v>2</v>
      </c>
      <c r="K248" s="3">
        <v>3.06</v>
      </c>
      <c r="L248" s="3">
        <v>6.12</v>
      </c>
      <c r="M248" s="4">
        <v>0</v>
      </c>
      <c r="N248" s="3">
        <v>0</v>
      </c>
      <c r="O248" s="3">
        <v>6.12</v>
      </c>
      <c r="P248" s="3">
        <v>2.4</v>
      </c>
      <c r="Q248" s="3">
        <v>3.72</v>
      </c>
      <c r="R248" s="2" t="s">
        <v>48</v>
      </c>
      <c r="S248" s="2" t="s">
        <v>66</v>
      </c>
      <c r="T248" s="2" t="s">
        <v>37</v>
      </c>
      <c r="U248" s="2">
        <v>4</v>
      </c>
    </row>
    <row r="249" spans="1:21" x14ac:dyDescent="0.25">
      <c r="A249" s="2" t="s">
        <v>541</v>
      </c>
      <c r="B249" s="2" t="s">
        <v>542</v>
      </c>
      <c r="C249" s="2" t="str">
        <f>TEXT(TransactionsTable500[[#This Row],[Order Date]],"mmm")</f>
        <v>Dec</v>
      </c>
      <c r="D249" s="2" t="s">
        <v>51</v>
      </c>
      <c r="E249" s="2" t="s">
        <v>23</v>
      </c>
      <c r="F249" s="2" t="s">
        <v>24</v>
      </c>
      <c r="G249" s="2" t="s">
        <v>52</v>
      </c>
      <c r="H249" s="2" t="s">
        <v>157</v>
      </c>
      <c r="I249" s="2" t="s">
        <v>47</v>
      </c>
      <c r="J249" s="2">
        <v>2</v>
      </c>
      <c r="K249" s="3">
        <v>8</v>
      </c>
      <c r="L249" s="3">
        <v>16</v>
      </c>
      <c r="M249" s="4">
        <v>0.05</v>
      </c>
      <c r="N249" s="3">
        <v>0.8</v>
      </c>
      <c r="O249" s="3">
        <v>15.2</v>
      </c>
      <c r="P249" s="3">
        <v>5.23</v>
      </c>
      <c r="Q249" s="3">
        <v>9.9700000000000006</v>
      </c>
      <c r="R249" s="2" t="s">
        <v>96</v>
      </c>
      <c r="S249" s="2" t="s">
        <v>87</v>
      </c>
      <c r="T249" s="2" t="s">
        <v>30</v>
      </c>
      <c r="U249" s="2">
        <v>3</v>
      </c>
    </row>
    <row r="250" spans="1:21" x14ac:dyDescent="0.25">
      <c r="A250" s="2" t="s">
        <v>543</v>
      </c>
      <c r="B250" s="2" t="s">
        <v>544</v>
      </c>
      <c r="C250" s="2" t="str">
        <f>TEXT(TransactionsTable500[[#This Row],[Order Date]],"mmm")</f>
        <v>Dec</v>
      </c>
      <c r="D250" s="2" t="s">
        <v>55</v>
      </c>
      <c r="E250" s="2" t="s">
        <v>43</v>
      </c>
      <c r="F250" s="2" t="s">
        <v>44</v>
      </c>
      <c r="G250" s="2" t="s">
        <v>56</v>
      </c>
      <c r="H250" s="2" t="s">
        <v>26</v>
      </c>
      <c r="I250" s="2" t="s">
        <v>27</v>
      </c>
      <c r="J250" s="2">
        <v>2</v>
      </c>
      <c r="K250" s="3">
        <v>5.32</v>
      </c>
      <c r="L250" s="3">
        <v>10.64</v>
      </c>
      <c r="M250" s="4">
        <v>0</v>
      </c>
      <c r="N250" s="3">
        <v>0</v>
      </c>
      <c r="O250" s="3">
        <v>10.64</v>
      </c>
      <c r="P250" s="3">
        <v>3.53</v>
      </c>
      <c r="Q250" s="3">
        <v>7.11</v>
      </c>
      <c r="R250" s="2" t="s">
        <v>28</v>
      </c>
      <c r="S250" s="2" t="s">
        <v>66</v>
      </c>
      <c r="T250" s="2" t="s">
        <v>90</v>
      </c>
      <c r="U250" s="2">
        <v>5</v>
      </c>
    </row>
    <row r="251" spans="1:21" x14ac:dyDescent="0.25">
      <c r="A251" s="2" t="s">
        <v>545</v>
      </c>
      <c r="B251" s="2" t="s">
        <v>546</v>
      </c>
      <c r="C251" s="2" t="str">
        <f>TEXT(TransactionsTable500[[#This Row],[Order Date]],"mmm")</f>
        <v>Dec</v>
      </c>
      <c r="D251" s="2" t="s">
        <v>133</v>
      </c>
      <c r="E251" s="2" t="s">
        <v>119</v>
      </c>
      <c r="F251" s="2" t="s">
        <v>24</v>
      </c>
      <c r="G251" s="2" t="s">
        <v>134</v>
      </c>
      <c r="H251" s="2" t="s">
        <v>72</v>
      </c>
      <c r="I251" s="2" t="s">
        <v>58</v>
      </c>
      <c r="J251" s="2">
        <v>4</v>
      </c>
      <c r="K251" s="3">
        <v>14.62</v>
      </c>
      <c r="L251" s="3">
        <v>58.48</v>
      </c>
      <c r="M251" s="4">
        <v>0.1</v>
      </c>
      <c r="N251" s="3">
        <v>5.85</v>
      </c>
      <c r="O251" s="3">
        <v>52.63</v>
      </c>
      <c r="P251" s="3">
        <v>20.65</v>
      </c>
      <c r="Q251" s="3">
        <v>31.98</v>
      </c>
      <c r="R251" s="2" t="s">
        <v>48</v>
      </c>
      <c r="S251" s="2" t="s">
        <v>29</v>
      </c>
      <c r="T251" s="2" t="s">
        <v>30</v>
      </c>
      <c r="U251" s="2">
        <v>5</v>
      </c>
    </row>
    <row r="252" spans="1:21" x14ac:dyDescent="0.25">
      <c r="A252" s="2" t="s">
        <v>547</v>
      </c>
      <c r="B252" s="2" t="s">
        <v>548</v>
      </c>
      <c r="C252" s="2" t="str">
        <f>TEXT(TransactionsTable500[[#This Row],[Order Date]],"mmm")</f>
        <v>Dec</v>
      </c>
      <c r="D252" s="2" t="s">
        <v>133</v>
      </c>
      <c r="E252" s="2" t="s">
        <v>119</v>
      </c>
      <c r="F252" s="2" t="s">
        <v>24</v>
      </c>
      <c r="G252" s="2" t="s">
        <v>134</v>
      </c>
      <c r="H252" s="2" t="s">
        <v>103</v>
      </c>
      <c r="I252" s="2" t="s">
        <v>27</v>
      </c>
      <c r="J252" s="2">
        <v>1</v>
      </c>
      <c r="K252" s="3">
        <v>4.72</v>
      </c>
      <c r="L252" s="3">
        <v>4.72</v>
      </c>
      <c r="M252" s="4">
        <v>0</v>
      </c>
      <c r="N252" s="3">
        <v>0</v>
      </c>
      <c r="O252" s="3">
        <v>4.72</v>
      </c>
      <c r="P252" s="3">
        <v>1.54</v>
      </c>
      <c r="Q252" s="3">
        <v>3.18</v>
      </c>
      <c r="R252" s="2" t="s">
        <v>28</v>
      </c>
      <c r="S252" s="2" t="s">
        <v>66</v>
      </c>
      <c r="T252" s="2" t="s">
        <v>30</v>
      </c>
      <c r="U252" s="2">
        <v>4</v>
      </c>
    </row>
    <row r="253" spans="1:21" x14ac:dyDescent="0.25">
      <c r="A253" s="2" t="s">
        <v>549</v>
      </c>
      <c r="B253" s="2" t="s">
        <v>550</v>
      </c>
      <c r="C253" s="2" t="str">
        <f>TEXT(TransactionsTable500[[#This Row],[Order Date]],"mmm")</f>
        <v>Dec</v>
      </c>
      <c r="D253" s="2" t="s">
        <v>155</v>
      </c>
      <c r="E253" s="2" t="s">
        <v>61</v>
      </c>
      <c r="F253" s="2" t="s">
        <v>62</v>
      </c>
      <c r="G253" s="2" t="s">
        <v>156</v>
      </c>
      <c r="H253" s="2" t="s">
        <v>99</v>
      </c>
      <c r="I253" s="2" t="s">
        <v>100</v>
      </c>
      <c r="J253" s="2">
        <v>1</v>
      </c>
      <c r="K253" s="3">
        <v>4.46</v>
      </c>
      <c r="L253" s="3">
        <v>4.46</v>
      </c>
      <c r="M253" s="4">
        <v>0</v>
      </c>
      <c r="N253" s="3">
        <v>0</v>
      </c>
      <c r="O253" s="3">
        <v>4.46</v>
      </c>
      <c r="P253" s="3">
        <v>1.57</v>
      </c>
      <c r="Q253" s="3">
        <v>2.89</v>
      </c>
      <c r="R253" s="2" t="s">
        <v>48</v>
      </c>
      <c r="S253" s="2" t="s">
        <v>87</v>
      </c>
      <c r="T253" s="2" t="s">
        <v>30</v>
      </c>
      <c r="U253" s="2">
        <v>5</v>
      </c>
    </row>
    <row r="254" spans="1:21" x14ac:dyDescent="0.25">
      <c r="A254" s="2" t="s">
        <v>551</v>
      </c>
      <c r="B254" s="2" t="s">
        <v>550</v>
      </c>
      <c r="C254" s="2" t="str">
        <f>TEXT(TransactionsTable500[[#This Row],[Order Date]],"mmm")</f>
        <v>Dec</v>
      </c>
      <c r="D254" s="2" t="s">
        <v>118</v>
      </c>
      <c r="E254" s="2" t="s">
        <v>119</v>
      </c>
      <c r="F254" s="2" t="s">
        <v>24</v>
      </c>
      <c r="G254" s="2" t="s">
        <v>120</v>
      </c>
      <c r="H254" s="2" t="s">
        <v>103</v>
      </c>
      <c r="I254" s="2" t="s">
        <v>27</v>
      </c>
      <c r="J254" s="2">
        <v>2</v>
      </c>
      <c r="K254" s="3">
        <v>5</v>
      </c>
      <c r="L254" s="3">
        <v>10</v>
      </c>
      <c r="M254" s="4">
        <v>0</v>
      </c>
      <c r="N254" s="3">
        <v>0</v>
      </c>
      <c r="O254" s="3">
        <v>10</v>
      </c>
      <c r="P254" s="3">
        <v>3.36</v>
      </c>
      <c r="Q254" s="3">
        <v>6.64</v>
      </c>
      <c r="R254" s="2" t="s">
        <v>28</v>
      </c>
      <c r="S254" s="2" t="s">
        <v>29</v>
      </c>
      <c r="T254" s="2" t="s">
        <v>90</v>
      </c>
      <c r="U254" s="2">
        <v>5</v>
      </c>
    </row>
    <row r="255" spans="1:21" x14ac:dyDescent="0.25">
      <c r="A255" s="2" t="s">
        <v>552</v>
      </c>
      <c r="B255" s="2" t="s">
        <v>553</v>
      </c>
      <c r="C255" s="2" t="str">
        <f>TEXT(TransactionsTable500[[#This Row],[Order Date]],"mmm")</f>
        <v>Dec</v>
      </c>
      <c r="D255" s="2" t="s">
        <v>22</v>
      </c>
      <c r="E255" s="2" t="s">
        <v>23</v>
      </c>
      <c r="F255" s="2" t="s">
        <v>24</v>
      </c>
      <c r="G255" s="2" t="s">
        <v>25</v>
      </c>
      <c r="H255" s="2" t="s">
        <v>93</v>
      </c>
      <c r="I255" s="2" t="s">
        <v>65</v>
      </c>
      <c r="J255" s="2">
        <v>2</v>
      </c>
      <c r="K255" s="3">
        <v>3.51</v>
      </c>
      <c r="L255" s="3">
        <v>7.02</v>
      </c>
      <c r="M255" s="4">
        <v>0</v>
      </c>
      <c r="N255" s="3">
        <v>0</v>
      </c>
      <c r="O255" s="3">
        <v>7.02</v>
      </c>
      <c r="P255" s="3">
        <v>2.64</v>
      </c>
      <c r="Q255" s="3">
        <v>4.38</v>
      </c>
      <c r="R255" s="2" t="s">
        <v>96</v>
      </c>
      <c r="S255" s="2" t="s">
        <v>66</v>
      </c>
      <c r="T255" s="2" t="s">
        <v>30</v>
      </c>
      <c r="U255" s="2">
        <v>4</v>
      </c>
    </row>
    <row r="256" spans="1:21" x14ac:dyDescent="0.25">
      <c r="A256" s="2" t="s">
        <v>554</v>
      </c>
      <c r="B256" s="2" t="s">
        <v>555</v>
      </c>
      <c r="C256" s="2" t="str">
        <f>TEXT(TransactionsTable500[[#This Row],[Order Date]],"mmm")</f>
        <v>Dec</v>
      </c>
      <c r="D256" s="2" t="s">
        <v>216</v>
      </c>
      <c r="E256" s="2" t="s">
        <v>61</v>
      </c>
      <c r="F256" s="2" t="s">
        <v>62</v>
      </c>
      <c r="G256" s="2" t="s">
        <v>217</v>
      </c>
      <c r="H256" s="2" t="s">
        <v>169</v>
      </c>
      <c r="I256" s="2" t="s">
        <v>65</v>
      </c>
      <c r="J256" s="2">
        <v>1</v>
      </c>
      <c r="K256" s="3">
        <v>3.33</v>
      </c>
      <c r="L256" s="3">
        <v>3.33</v>
      </c>
      <c r="M256" s="4">
        <v>0</v>
      </c>
      <c r="N256" s="3">
        <v>0</v>
      </c>
      <c r="O256" s="3">
        <v>3.33</v>
      </c>
      <c r="P256" s="3">
        <v>1.25</v>
      </c>
      <c r="Q256" s="3">
        <v>2.08</v>
      </c>
      <c r="R256" s="2" t="s">
        <v>28</v>
      </c>
      <c r="S256" s="2" t="s">
        <v>66</v>
      </c>
      <c r="T256" s="2" t="s">
        <v>30</v>
      </c>
      <c r="U256" s="2">
        <v>4</v>
      </c>
    </row>
    <row r="257" spans="1:21" x14ac:dyDescent="0.25">
      <c r="A257" s="2" t="s">
        <v>556</v>
      </c>
      <c r="B257" s="2" t="s">
        <v>557</v>
      </c>
      <c r="C257" s="2" t="str">
        <f>TEXT(TransactionsTable500[[#This Row],[Order Date]],"mmm")</f>
        <v>Dec</v>
      </c>
      <c r="D257" s="2" t="s">
        <v>75</v>
      </c>
      <c r="E257" s="2" t="s">
        <v>70</v>
      </c>
      <c r="F257" s="2" t="s">
        <v>44</v>
      </c>
      <c r="G257" s="2" t="s">
        <v>76</v>
      </c>
      <c r="H257" s="2" t="s">
        <v>53</v>
      </c>
      <c r="I257" s="2" t="s">
        <v>27</v>
      </c>
      <c r="J257" s="2">
        <v>3</v>
      </c>
      <c r="K257" s="3">
        <v>3.84</v>
      </c>
      <c r="L257" s="3">
        <v>11.52</v>
      </c>
      <c r="M257" s="4">
        <v>0</v>
      </c>
      <c r="N257" s="3">
        <v>0</v>
      </c>
      <c r="O257" s="3">
        <v>11.52</v>
      </c>
      <c r="P257" s="3">
        <v>4.2</v>
      </c>
      <c r="Q257" s="3">
        <v>7.32</v>
      </c>
      <c r="R257" s="2" t="s">
        <v>48</v>
      </c>
      <c r="S257" s="2" t="s">
        <v>29</v>
      </c>
      <c r="T257" s="2" t="s">
        <v>30</v>
      </c>
      <c r="U257" s="2">
        <v>1</v>
      </c>
    </row>
    <row r="258" spans="1:21" x14ac:dyDescent="0.25">
      <c r="A258" s="2" t="s">
        <v>558</v>
      </c>
      <c r="B258" s="2" t="s">
        <v>559</v>
      </c>
      <c r="C258" s="2" t="str">
        <f>TEXT(TransactionsTable500[[#This Row],[Order Date]],"mmm")</f>
        <v>Dec</v>
      </c>
      <c r="D258" s="2" t="s">
        <v>40</v>
      </c>
      <c r="E258" s="2" t="s">
        <v>33</v>
      </c>
      <c r="F258" s="2" t="s">
        <v>34</v>
      </c>
      <c r="G258" s="2" t="s">
        <v>35</v>
      </c>
      <c r="H258" s="2" t="s">
        <v>57</v>
      </c>
      <c r="I258" s="2" t="s">
        <v>58</v>
      </c>
      <c r="J258" s="2">
        <v>1</v>
      </c>
      <c r="K258" s="3">
        <v>9.36</v>
      </c>
      <c r="L258" s="3">
        <v>9.36</v>
      </c>
      <c r="M258" s="4">
        <v>0</v>
      </c>
      <c r="N258" s="3">
        <v>0</v>
      </c>
      <c r="O258" s="3">
        <v>9.36</v>
      </c>
      <c r="P258" s="3">
        <v>3.64</v>
      </c>
      <c r="Q258" s="3">
        <v>5.72</v>
      </c>
      <c r="R258" s="2" t="s">
        <v>28</v>
      </c>
      <c r="S258" s="2" t="s">
        <v>66</v>
      </c>
      <c r="T258" s="2" t="s">
        <v>30</v>
      </c>
      <c r="U258" s="2">
        <v>5</v>
      </c>
    </row>
    <row r="259" spans="1:21" x14ac:dyDescent="0.25">
      <c r="A259" s="2" t="s">
        <v>560</v>
      </c>
      <c r="B259" s="2" t="s">
        <v>561</v>
      </c>
      <c r="C259" s="2" t="str">
        <f>TEXT(TransactionsTable500[[#This Row],[Order Date]],"mmm")</f>
        <v>Dec</v>
      </c>
      <c r="D259" s="2" t="s">
        <v>69</v>
      </c>
      <c r="E259" s="2" t="s">
        <v>70</v>
      </c>
      <c r="F259" s="2" t="s">
        <v>44</v>
      </c>
      <c r="G259" s="2" t="s">
        <v>71</v>
      </c>
      <c r="H259" s="2" t="s">
        <v>112</v>
      </c>
      <c r="I259" s="2" t="s">
        <v>100</v>
      </c>
      <c r="J259" s="2">
        <v>2</v>
      </c>
      <c r="K259" s="3">
        <v>3.73</v>
      </c>
      <c r="L259" s="3">
        <v>7.46</v>
      </c>
      <c r="M259" s="4">
        <v>0</v>
      </c>
      <c r="N259" s="3">
        <v>0</v>
      </c>
      <c r="O259" s="3">
        <v>7.46</v>
      </c>
      <c r="P259" s="3">
        <v>2.5299999999999998</v>
      </c>
      <c r="Q259" s="3">
        <v>4.93</v>
      </c>
      <c r="R259" s="2" t="s">
        <v>96</v>
      </c>
      <c r="S259" s="2" t="s">
        <v>87</v>
      </c>
      <c r="T259" s="2" t="s">
        <v>30</v>
      </c>
      <c r="U259" s="2">
        <v>2</v>
      </c>
    </row>
    <row r="260" spans="1:21" x14ac:dyDescent="0.25">
      <c r="A260" s="2" t="s">
        <v>562</v>
      </c>
      <c r="B260" s="2" t="s">
        <v>563</v>
      </c>
      <c r="C260" s="2" t="str">
        <f>TEXT(TransactionsTable500[[#This Row],[Order Date]],"mmm")</f>
        <v>Dec</v>
      </c>
      <c r="D260" s="2" t="s">
        <v>139</v>
      </c>
      <c r="E260" s="2" t="s">
        <v>70</v>
      </c>
      <c r="F260" s="2" t="s">
        <v>44</v>
      </c>
      <c r="G260" s="2" t="s">
        <v>71</v>
      </c>
      <c r="H260" s="2" t="s">
        <v>77</v>
      </c>
      <c r="I260" s="2" t="s">
        <v>47</v>
      </c>
      <c r="J260" s="2">
        <v>2</v>
      </c>
      <c r="K260" s="3">
        <v>6.59</v>
      </c>
      <c r="L260" s="3">
        <v>13.18</v>
      </c>
      <c r="M260" s="4">
        <v>0</v>
      </c>
      <c r="N260" s="3">
        <v>0</v>
      </c>
      <c r="O260" s="3">
        <v>13.18</v>
      </c>
      <c r="P260" s="3">
        <v>5.13</v>
      </c>
      <c r="Q260" s="3">
        <v>8.0500000000000007</v>
      </c>
      <c r="R260" s="2" t="s">
        <v>28</v>
      </c>
      <c r="S260" s="2" t="s">
        <v>36</v>
      </c>
      <c r="T260" s="2" t="s">
        <v>37</v>
      </c>
      <c r="U260" s="2">
        <v>4</v>
      </c>
    </row>
    <row r="261" spans="1:21" x14ac:dyDescent="0.25">
      <c r="A261" s="2" t="s">
        <v>564</v>
      </c>
      <c r="B261" s="2" t="s">
        <v>565</v>
      </c>
      <c r="C261" s="2" t="str">
        <f>TEXT(TransactionsTable500[[#This Row],[Order Date]],"mmm")</f>
        <v>Dec</v>
      </c>
      <c r="D261" s="2" t="s">
        <v>199</v>
      </c>
      <c r="E261" s="2" t="s">
        <v>70</v>
      </c>
      <c r="F261" s="2" t="s">
        <v>44</v>
      </c>
      <c r="G261" s="2" t="s">
        <v>200</v>
      </c>
      <c r="H261" s="2" t="s">
        <v>122</v>
      </c>
      <c r="I261" s="2" t="s">
        <v>47</v>
      </c>
      <c r="J261" s="2">
        <v>1</v>
      </c>
      <c r="K261" s="3">
        <v>7.15</v>
      </c>
      <c r="L261" s="3">
        <v>7.15</v>
      </c>
      <c r="M261" s="4">
        <v>0.15</v>
      </c>
      <c r="N261" s="3">
        <v>1.07</v>
      </c>
      <c r="O261" s="3">
        <v>6.08</v>
      </c>
      <c r="P261" s="3">
        <v>2.08</v>
      </c>
      <c r="Q261" s="3">
        <v>4</v>
      </c>
      <c r="R261" s="2" t="s">
        <v>48</v>
      </c>
      <c r="S261" s="2" t="s">
        <v>66</v>
      </c>
      <c r="T261" s="2" t="s">
        <v>30</v>
      </c>
      <c r="U261" s="2">
        <v>2</v>
      </c>
    </row>
    <row r="262" spans="1:21" x14ac:dyDescent="0.25">
      <c r="A262" s="2" t="s">
        <v>566</v>
      </c>
      <c r="B262" s="2" t="s">
        <v>565</v>
      </c>
      <c r="C262" s="2" t="str">
        <f>TEXT(TransactionsTable500[[#This Row],[Order Date]],"mmm")</f>
        <v>Dec</v>
      </c>
      <c r="D262" s="2" t="s">
        <v>118</v>
      </c>
      <c r="E262" s="2" t="s">
        <v>119</v>
      </c>
      <c r="F262" s="2" t="s">
        <v>24</v>
      </c>
      <c r="G262" s="2" t="s">
        <v>120</v>
      </c>
      <c r="H262" s="2" t="s">
        <v>157</v>
      </c>
      <c r="I262" s="2" t="s">
        <v>47</v>
      </c>
      <c r="J262" s="2">
        <v>1</v>
      </c>
      <c r="K262" s="3">
        <v>7.52</v>
      </c>
      <c r="L262" s="3">
        <v>7.52</v>
      </c>
      <c r="M262" s="4">
        <v>0.15</v>
      </c>
      <c r="N262" s="3">
        <v>1.1299999999999999</v>
      </c>
      <c r="O262" s="3">
        <v>6.39</v>
      </c>
      <c r="P262" s="3">
        <v>2.41</v>
      </c>
      <c r="Q262" s="3">
        <v>3.98</v>
      </c>
      <c r="R262" s="2" t="s">
        <v>1052</v>
      </c>
      <c r="S262" s="2" t="s">
        <v>87</v>
      </c>
      <c r="T262" s="2" t="s">
        <v>37</v>
      </c>
      <c r="U262" s="2">
        <v>4</v>
      </c>
    </row>
    <row r="263" spans="1:21" x14ac:dyDescent="0.25">
      <c r="A263" s="2" t="s">
        <v>567</v>
      </c>
      <c r="B263" s="2" t="s">
        <v>568</v>
      </c>
      <c r="C263" s="2" t="str">
        <f>TEXT(TransactionsTable500[[#This Row],[Order Date]],"mmm")</f>
        <v>Dec</v>
      </c>
      <c r="D263" s="2" t="s">
        <v>55</v>
      </c>
      <c r="E263" s="2" t="s">
        <v>43</v>
      </c>
      <c r="F263" s="2" t="s">
        <v>44</v>
      </c>
      <c r="G263" s="2" t="s">
        <v>56</v>
      </c>
      <c r="H263" s="2" t="s">
        <v>64</v>
      </c>
      <c r="I263" s="2" t="s">
        <v>65</v>
      </c>
      <c r="J263" s="2">
        <v>2</v>
      </c>
      <c r="K263" s="3">
        <v>2.56</v>
      </c>
      <c r="L263" s="3">
        <v>5.12</v>
      </c>
      <c r="M263" s="4">
        <v>0</v>
      </c>
      <c r="N263" s="3">
        <v>0</v>
      </c>
      <c r="O263" s="3">
        <v>5.12</v>
      </c>
      <c r="P263" s="3">
        <v>1.78</v>
      </c>
      <c r="Q263" s="3">
        <v>3.34</v>
      </c>
      <c r="R263" s="2" t="s">
        <v>48</v>
      </c>
      <c r="S263" s="2" t="s">
        <v>87</v>
      </c>
      <c r="T263" s="2" t="s">
        <v>30</v>
      </c>
      <c r="U263" s="2">
        <v>5</v>
      </c>
    </row>
    <row r="264" spans="1:21" x14ac:dyDescent="0.25">
      <c r="A264" s="2" t="s">
        <v>569</v>
      </c>
      <c r="B264" s="2" t="s">
        <v>570</v>
      </c>
      <c r="C264" s="2" t="str">
        <f>TEXT(TransactionsTable500[[#This Row],[Order Date]],"mmm")</f>
        <v>Dec</v>
      </c>
      <c r="D264" s="2" t="s">
        <v>127</v>
      </c>
      <c r="E264" s="2" t="s">
        <v>23</v>
      </c>
      <c r="F264" s="2" t="s">
        <v>24</v>
      </c>
      <c r="G264" s="2" t="s">
        <v>25</v>
      </c>
      <c r="H264" s="2" t="s">
        <v>140</v>
      </c>
      <c r="I264" s="2" t="s">
        <v>58</v>
      </c>
      <c r="J264" s="2">
        <v>3</v>
      </c>
      <c r="K264" s="3">
        <v>12.66</v>
      </c>
      <c r="L264" s="3">
        <v>37.979999999999997</v>
      </c>
      <c r="M264" s="4">
        <v>0</v>
      </c>
      <c r="N264" s="3">
        <v>0</v>
      </c>
      <c r="O264" s="3">
        <v>37.979999999999997</v>
      </c>
      <c r="P264" s="3">
        <v>15.85</v>
      </c>
      <c r="Q264" s="3">
        <v>22.13</v>
      </c>
      <c r="R264" s="2" t="s">
        <v>48</v>
      </c>
      <c r="S264" s="2" t="s">
        <v>66</v>
      </c>
      <c r="T264" s="2" t="s">
        <v>37</v>
      </c>
      <c r="U264" s="2">
        <v>4</v>
      </c>
    </row>
    <row r="265" spans="1:21" x14ac:dyDescent="0.25">
      <c r="A265" s="2" t="s">
        <v>571</v>
      </c>
      <c r="B265" s="2" t="s">
        <v>572</v>
      </c>
      <c r="C265" s="2" t="str">
        <f>TEXT(TransactionsTable500[[#This Row],[Order Date]],"mmm")</f>
        <v>Dec</v>
      </c>
      <c r="D265" s="2" t="s">
        <v>212</v>
      </c>
      <c r="E265" s="2" t="s">
        <v>184</v>
      </c>
      <c r="F265" s="2" t="s">
        <v>62</v>
      </c>
      <c r="G265" s="2" t="s">
        <v>213</v>
      </c>
      <c r="H265" s="2" t="s">
        <v>86</v>
      </c>
      <c r="I265" s="2" t="s">
        <v>27</v>
      </c>
      <c r="J265" s="2">
        <v>1</v>
      </c>
      <c r="K265" s="3">
        <v>4.7699999999999996</v>
      </c>
      <c r="L265" s="3">
        <v>4.7699999999999996</v>
      </c>
      <c r="M265" s="4">
        <v>0</v>
      </c>
      <c r="N265" s="3">
        <v>0</v>
      </c>
      <c r="O265" s="3">
        <v>4.7699999999999996</v>
      </c>
      <c r="P265" s="3">
        <v>1.99</v>
      </c>
      <c r="Q265" s="3">
        <v>2.78</v>
      </c>
      <c r="R265" s="2" t="s">
        <v>48</v>
      </c>
      <c r="S265" s="2" t="s">
        <v>29</v>
      </c>
      <c r="T265" s="2" t="s">
        <v>30</v>
      </c>
      <c r="U265" s="2">
        <v>5</v>
      </c>
    </row>
    <row r="266" spans="1:21" x14ac:dyDescent="0.25">
      <c r="A266" s="2" t="s">
        <v>573</v>
      </c>
      <c r="B266" s="2" t="s">
        <v>574</v>
      </c>
      <c r="C266" s="2" t="str">
        <f>TEXT(TransactionsTable500[[#This Row],[Order Date]],"mmm")</f>
        <v>Dec</v>
      </c>
      <c r="D266" s="2" t="s">
        <v>177</v>
      </c>
      <c r="E266" s="2" t="s">
        <v>43</v>
      </c>
      <c r="F266" s="2" t="s">
        <v>44</v>
      </c>
      <c r="G266" s="2" t="s">
        <v>45</v>
      </c>
      <c r="H266" s="2" t="s">
        <v>203</v>
      </c>
      <c r="I266" s="2" t="s">
        <v>100</v>
      </c>
      <c r="J266" s="2">
        <v>4</v>
      </c>
      <c r="K266" s="3">
        <v>4.37</v>
      </c>
      <c r="L266" s="3">
        <v>17.48</v>
      </c>
      <c r="M266" s="4">
        <v>0</v>
      </c>
      <c r="N266" s="3">
        <v>0</v>
      </c>
      <c r="O266" s="3">
        <v>17.48</v>
      </c>
      <c r="P266" s="3">
        <v>5.71</v>
      </c>
      <c r="Q266" s="3">
        <v>11.77</v>
      </c>
      <c r="R266" s="2" t="s">
        <v>48</v>
      </c>
      <c r="S266" s="2" t="s">
        <v>66</v>
      </c>
      <c r="T266" s="2" t="s">
        <v>30</v>
      </c>
      <c r="U266" s="2">
        <v>3</v>
      </c>
    </row>
    <row r="267" spans="1:21" x14ac:dyDescent="0.25">
      <c r="A267" s="2" t="s">
        <v>575</v>
      </c>
      <c r="B267" s="2" t="s">
        <v>576</v>
      </c>
      <c r="C267" s="2" t="str">
        <f>TEXT(TransactionsTable500[[#This Row],[Order Date]],"mmm")</f>
        <v>Dec</v>
      </c>
      <c r="D267" s="2" t="s">
        <v>40</v>
      </c>
      <c r="E267" s="2" t="s">
        <v>33</v>
      </c>
      <c r="F267" s="2" t="s">
        <v>34</v>
      </c>
      <c r="G267" s="2" t="s">
        <v>35</v>
      </c>
      <c r="H267" s="2" t="s">
        <v>112</v>
      </c>
      <c r="I267" s="2" t="s">
        <v>100</v>
      </c>
      <c r="J267" s="2">
        <v>2</v>
      </c>
      <c r="K267" s="3">
        <v>3.78</v>
      </c>
      <c r="L267" s="3">
        <v>7.56</v>
      </c>
      <c r="M267" s="4">
        <v>0.1</v>
      </c>
      <c r="N267" s="3">
        <v>0.76</v>
      </c>
      <c r="O267" s="3">
        <v>6.8</v>
      </c>
      <c r="P267" s="3">
        <v>2.46</v>
      </c>
      <c r="Q267" s="3">
        <v>4.34</v>
      </c>
      <c r="R267" s="2" t="s">
        <v>48</v>
      </c>
      <c r="S267" s="2" t="s">
        <v>66</v>
      </c>
      <c r="T267" s="2" t="s">
        <v>37</v>
      </c>
      <c r="U267" s="2">
        <v>4</v>
      </c>
    </row>
    <row r="268" spans="1:21" x14ac:dyDescent="0.25">
      <c r="A268" s="2" t="s">
        <v>577</v>
      </c>
      <c r="B268" s="2" t="s">
        <v>578</v>
      </c>
      <c r="C268" s="2" t="str">
        <f>TEXT(TransactionsTable500[[#This Row],[Order Date]],"mmm")</f>
        <v>Dec</v>
      </c>
      <c r="D268" s="2" t="s">
        <v>55</v>
      </c>
      <c r="E268" s="2" t="s">
        <v>43</v>
      </c>
      <c r="F268" s="2" t="s">
        <v>44</v>
      </c>
      <c r="G268" s="2" t="s">
        <v>56</v>
      </c>
      <c r="H268" s="2" t="s">
        <v>26</v>
      </c>
      <c r="I268" s="2" t="s">
        <v>27</v>
      </c>
      <c r="J268" s="2">
        <v>2</v>
      </c>
      <c r="K268" s="3">
        <v>5.43</v>
      </c>
      <c r="L268" s="3">
        <v>10.86</v>
      </c>
      <c r="M268" s="4">
        <v>0</v>
      </c>
      <c r="N268" s="3">
        <v>0</v>
      </c>
      <c r="O268" s="3">
        <v>10.86</v>
      </c>
      <c r="P268" s="3">
        <v>4.22</v>
      </c>
      <c r="Q268" s="3">
        <v>6.64</v>
      </c>
      <c r="R268" s="2" t="s">
        <v>28</v>
      </c>
      <c r="S268" s="2" t="s">
        <v>87</v>
      </c>
      <c r="T268" s="2" t="s">
        <v>30</v>
      </c>
      <c r="U268" s="2">
        <v>5</v>
      </c>
    </row>
    <row r="269" spans="1:21" x14ac:dyDescent="0.25">
      <c r="A269" s="2" t="s">
        <v>579</v>
      </c>
      <c r="B269" s="2" t="s">
        <v>580</v>
      </c>
      <c r="C269" s="2" t="str">
        <f>TEXT(TransactionsTable500[[#This Row],[Order Date]],"mmm")</f>
        <v>Jan</v>
      </c>
      <c r="D269" s="2" t="s">
        <v>143</v>
      </c>
      <c r="E269" s="2" t="s">
        <v>43</v>
      </c>
      <c r="F269" s="2" t="s">
        <v>44</v>
      </c>
      <c r="G269" s="2" t="s">
        <v>144</v>
      </c>
      <c r="H269" s="2" t="s">
        <v>122</v>
      </c>
      <c r="I269" s="2" t="s">
        <v>47</v>
      </c>
      <c r="J269" s="2">
        <v>2</v>
      </c>
      <c r="K269" s="3">
        <v>6.96</v>
      </c>
      <c r="L269" s="3">
        <v>13.92</v>
      </c>
      <c r="M269" s="4">
        <v>0</v>
      </c>
      <c r="N269" s="3">
        <v>0</v>
      </c>
      <c r="O269" s="3">
        <v>13.92</v>
      </c>
      <c r="P269" s="3">
        <v>4.51</v>
      </c>
      <c r="Q269" s="3">
        <v>9.41</v>
      </c>
      <c r="R269" s="2" t="s">
        <v>28</v>
      </c>
      <c r="S269" s="2" t="s">
        <v>36</v>
      </c>
      <c r="T269" s="2" t="s">
        <v>37</v>
      </c>
      <c r="U269" s="2">
        <v>4</v>
      </c>
    </row>
    <row r="270" spans="1:21" x14ac:dyDescent="0.25">
      <c r="A270" s="2" t="s">
        <v>581</v>
      </c>
      <c r="B270" s="2" t="s">
        <v>582</v>
      </c>
      <c r="C270" s="2" t="str">
        <f>TEXT(TransactionsTable500[[#This Row],[Order Date]],"mmm")</f>
        <v>Jan</v>
      </c>
      <c r="D270" s="2" t="s">
        <v>40</v>
      </c>
      <c r="E270" s="2" t="s">
        <v>33</v>
      </c>
      <c r="F270" s="2" t="s">
        <v>34</v>
      </c>
      <c r="G270" s="2" t="s">
        <v>35</v>
      </c>
      <c r="H270" s="2" t="s">
        <v>169</v>
      </c>
      <c r="I270" s="2" t="s">
        <v>65</v>
      </c>
      <c r="J270" s="2">
        <v>1</v>
      </c>
      <c r="K270" s="3">
        <v>3.31</v>
      </c>
      <c r="L270" s="3">
        <v>3.31</v>
      </c>
      <c r="M270" s="4">
        <v>0</v>
      </c>
      <c r="N270" s="3">
        <v>0</v>
      </c>
      <c r="O270" s="3">
        <v>3.31</v>
      </c>
      <c r="P270" s="3">
        <v>1.38</v>
      </c>
      <c r="Q270" s="3">
        <v>1.93</v>
      </c>
      <c r="R270" s="2" t="s">
        <v>48</v>
      </c>
      <c r="S270" s="2" t="s">
        <v>66</v>
      </c>
      <c r="T270" s="2" t="s">
        <v>37</v>
      </c>
      <c r="U270" s="2">
        <v>4</v>
      </c>
    </row>
    <row r="271" spans="1:21" x14ac:dyDescent="0.25">
      <c r="A271" s="2" t="s">
        <v>583</v>
      </c>
      <c r="B271" s="2" t="s">
        <v>584</v>
      </c>
      <c r="C271" s="2" t="str">
        <f>TEXT(TransactionsTable500[[#This Row],[Order Date]],"mmm")</f>
        <v>Jan</v>
      </c>
      <c r="D271" s="2" t="s">
        <v>129</v>
      </c>
      <c r="E271" s="2" t="s">
        <v>61</v>
      </c>
      <c r="F271" s="2" t="s">
        <v>62</v>
      </c>
      <c r="G271" s="2" t="s">
        <v>130</v>
      </c>
      <c r="H271" s="2" t="s">
        <v>53</v>
      </c>
      <c r="I271" s="2" t="s">
        <v>27</v>
      </c>
      <c r="J271" s="2">
        <v>1</v>
      </c>
      <c r="K271" s="3">
        <v>3.82</v>
      </c>
      <c r="L271" s="3">
        <v>3.82</v>
      </c>
      <c r="M271" s="4">
        <v>0.1</v>
      </c>
      <c r="N271" s="3">
        <v>0.38</v>
      </c>
      <c r="O271" s="3">
        <v>3.44</v>
      </c>
      <c r="P271" s="3">
        <v>1.31</v>
      </c>
      <c r="Q271" s="3">
        <v>2.13</v>
      </c>
      <c r="R271" s="2" t="s">
        <v>28</v>
      </c>
      <c r="S271" s="2" t="s">
        <v>29</v>
      </c>
      <c r="T271" s="2" t="s">
        <v>90</v>
      </c>
      <c r="U271" s="2">
        <v>5</v>
      </c>
    </row>
    <row r="272" spans="1:21" x14ac:dyDescent="0.25">
      <c r="A272" s="2" t="s">
        <v>585</v>
      </c>
      <c r="B272" s="2" t="s">
        <v>584</v>
      </c>
      <c r="C272" s="2" t="str">
        <f>TEXT(TransactionsTable500[[#This Row],[Order Date]],"mmm")</f>
        <v>Jan</v>
      </c>
      <c r="D272" s="2" t="s">
        <v>155</v>
      </c>
      <c r="E272" s="2" t="s">
        <v>61</v>
      </c>
      <c r="F272" s="2" t="s">
        <v>62</v>
      </c>
      <c r="G272" s="2" t="s">
        <v>156</v>
      </c>
      <c r="H272" s="2" t="s">
        <v>228</v>
      </c>
      <c r="I272" s="2" t="s">
        <v>65</v>
      </c>
      <c r="J272" s="2">
        <v>1</v>
      </c>
      <c r="K272" s="3">
        <v>3.35</v>
      </c>
      <c r="L272" s="3">
        <v>3.35</v>
      </c>
      <c r="M272" s="4">
        <v>0</v>
      </c>
      <c r="N272" s="3">
        <v>0</v>
      </c>
      <c r="O272" s="3">
        <v>3.35</v>
      </c>
      <c r="P272" s="3">
        <v>1.31</v>
      </c>
      <c r="Q272" s="3">
        <v>2.04</v>
      </c>
      <c r="R272" s="2" t="s">
        <v>48</v>
      </c>
      <c r="S272" s="2" t="s">
        <v>36</v>
      </c>
      <c r="T272" s="2" t="s">
        <v>30</v>
      </c>
      <c r="U272" s="2">
        <v>3</v>
      </c>
    </row>
    <row r="273" spans="1:21" x14ac:dyDescent="0.25">
      <c r="A273" s="2" t="s">
        <v>586</v>
      </c>
      <c r="B273" s="2" t="s">
        <v>587</v>
      </c>
      <c r="C273" s="2" t="str">
        <f>TEXT(TransactionsTable500[[#This Row],[Order Date]],"mmm")</f>
        <v>Jan</v>
      </c>
      <c r="D273" s="2" t="s">
        <v>22</v>
      </c>
      <c r="E273" s="2" t="s">
        <v>23</v>
      </c>
      <c r="F273" s="2" t="s">
        <v>24</v>
      </c>
      <c r="G273" s="2" t="s">
        <v>25</v>
      </c>
      <c r="H273" s="2" t="s">
        <v>72</v>
      </c>
      <c r="I273" s="2" t="s">
        <v>58</v>
      </c>
      <c r="J273" s="2">
        <v>1</v>
      </c>
      <c r="K273" s="3">
        <v>14.39</v>
      </c>
      <c r="L273" s="3">
        <v>14.39</v>
      </c>
      <c r="M273" s="4">
        <v>0</v>
      </c>
      <c r="N273" s="3">
        <v>0</v>
      </c>
      <c r="O273" s="3">
        <v>14.39</v>
      </c>
      <c r="P273" s="3">
        <v>5.49</v>
      </c>
      <c r="Q273" s="3">
        <v>8.9</v>
      </c>
      <c r="R273" s="2" t="s">
        <v>28</v>
      </c>
      <c r="S273" s="2" t="s">
        <v>36</v>
      </c>
      <c r="T273" s="2" t="s">
        <v>90</v>
      </c>
      <c r="U273" s="2">
        <v>3</v>
      </c>
    </row>
    <row r="274" spans="1:21" x14ac:dyDescent="0.25">
      <c r="A274" s="2" t="s">
        <v>588</v>
      </c>
      <c r="B274" s="2" t="s">
        <v>587</v>
      </c>
      <c r="C274" s="2" t="str">
        <f>TEXT(TransactionsTable500[[#This Row],[Order Date]],"mmm")</f>
        <v>Jan</v>
      </c>
      <c r="D274" s="2" t="s">
        <v>22</v>
      </c>
      <c r="E274" s="2" t="s">
        <v>23</v>
      </c>
      <c r="F274" s="2" t="s">
        <v>24</v>
      </c>
      <c r="G274" s="2" t="s">
        <v>25</v>
      </c>
      <c r="H274" s="2" t="s">
        <v>112</v>
      </c>
      <c r="I274" s="2" t="s">
        <v>100</v>
      </c>
      <c r="J274" s="2">
        <v>1</v>
      </c>
      <c r="K274" s="3">
        <v>3.8</v>
      </c>
      <c r="L274" s="3">
        <v>3.8</v>
      </c>
      <c r="M274" s="4">
        <v>0</v>
      </c>
      <c r="N274" s="3">
        <v>0</v>
      </c>
      <c r="O274" s="3">
        <v>3.8</v>
      </c>
      <c r="P274" s="3">
        <v>1.39</v>
      </c>
      <c r="Q274" s="3">
        <v>2.41</v>
      </c>
      <c r="R274" s="2" t="s">
        <v>48</v>
      </c>
      <c r="S274" s="2" t="s">
        <v>66</v>
      </c>
      <c r="T274" s="2" t="s">
        <v>30</v>
      </c>
      <c r="U274" s="2">
        <v>5</v>
      </c>
    </row>
    <row r="275" spans="1:21" x14ac:dyDescent="0.25">
      <c r="A275" s="2" t="s">
        <v>589</v>
      </c>
      <c r="B275" s="2" t="s">
        <v>590</v>
      </c>
      <c r="C275" s="2" t="str">
        <f>TEXT(TransactionsTable500[[#This Row],[Order Date]],"mmm")</f>
        <v>Jan</v>
      </c>
      <c r="D275" s="2" t="s">
        <v>105</v>
      </c>
      <c r="E275" s="2" t="s">
        <v>61</v>
      </c>
      <c r="F275" s="2" t="s">
        <v>62</v>
      </c>
      <c r="G275" s="2" t="s">
        <v>85</v>
      </c>
      <c r="H275" s="2" t="s">
        <v>203</v>
      </c>
      <c r="I275" s="2" t="s">
        <v>100</v>
      </c>
      <c r="J275" s="2">
        <v>1</v>
      </c>
      <c r="K275" s="3">
        <v>4.17</v>
      </c>
      <c r="L275" s="3">
        <v>4.17</v>
      </c>
      <c r="M275" s="4">
        <v>0.05</v>
      </c>
      <c r="N275" s="3">
        <v>0.21</v>
      </c>
      <c r="O275" s="3">
        <v>3.96</v>
      </c>
      <c r="P275" s="3">
        <v>1.34</v>
      </c>
      <c r="Q275" s="3">
        <v>2.62</v>
      </c>
      <c r="R275" s="2" t="s">
        <v>96</v>
      </c>
      <c r="S275" s="2" t="s">
        <v>66</v>
      </c>
      <c r="T275" s="2" t="s">
        <v>30</v>
      </c>
      <c r="U275" s="2">
        <v>1</v>
      </c>
    </row>
    <row r="276" spans="1:21" x14ac:dyDescent="0.25">
      <c r="A276" s="2" t="s">
        <v>591</v>
      </c>
      <c r="B276" s="2" t="s">
        <v>590</v>
      </c>
      <c r="C276" s="2" t="str">
        <f>TEXT(TransactionsTable500[[#This Row],[Order Date]],"mmm")</f>
        <v>Jan</v>
      </c>
      <c r="D276" s="2" t="s">
        <v>177</v>
      </c>
      <c r="E276" s="2" t="s">
        <v>43</v>
      </c>
      <c r="F276" s="2" t="s">
        <v>44</v>
      </c>
      <c r="G276" s="2" t="s">
        <v>45</v>
      </c>
      <c r="H276" s="2" t="s">
        <v>93</v>
      </c>
      <c r="I276" s="2" t="s">
        <v>65</v>
      </c>
      <c r="J276" s="2">
        <v>2</v>
      </c>
      <c r="K276" s="3">
        <v>3.75</v>
      </c>
      <c r="L276" s="3">
        <v>7.5</v>
      </c>
      <c r="M276" s="4">
        <v>0.15</v>
      </c>
      <c r="N276" s="3">
        <v>1.1200000000000001</v>
      </c>
      <c r="O276" s="3">
        <v>6.38</v>
      </c>
      <c r="P276" s="3">
        <v>2.4</v>
      </c>
      <c r="Q276" s="3">
        <v>3.98</v>
      </c>
      <c r="R276" s="2" t="s">
        <v>48</v>
      </c>
      <c r="S276" s="2" t="s">
        <v>29</v>
      </c>
      <c r="T276" s="2" t="s">
        <v>37</v>
      </c>
      <c r="U276" s="2">
        <v>5</v>
      </c>
    </row>
    <row r="277" spans="1:21" x14ac:dyDescent="0.25">
      <c r="A277" s="2" t="s">
        <v>592</v>
      </c>
      <c r="B277" s="2" t="s">
        <v>593</v>
      </c>
      <c r="C277" s="2" t="str">
        <f>TEXT(TransactionsTable500[[#This Row],[Order Date]],"mmm")</f>
        <v>Jan</v>
      </c>
      <c r="D277" s="2" t="s">
        <v>139</v>
      </c>
      <c r="E277" s="2" t="s">
        <v>70</v>
      </c>
      <c r="F277" s="2" t="s">
        <v>44</v>
      </c>
      <c r="G277" s="2" t="s">
        <v>71</v>
      </c>
      <c r="H277" s="2" t="s">
        <v>77</v>
      </c>
      <c r="I277" s="2" t="s">
        <v>47</v>
      </c>
      <c r="J277" s="2">
        <v>1</v>
      </c>
      <c r="K277" s="3">
        <v>6.54</v>
      </c>
      <c r="L277" s="3">
        <v>6.54</v>
      </c>
      <c r="M277" s="4">
        <v>0</v>
      </c>
      <c r="N277" s="3">
        <v>0</v>
      </c>
      <c r="O277" s="3">
        <v>6.54</v>
      </c>
      <c r="P277" s="3">
        <v>2.29</v>
      </c>
      <c r="Q277" s="3">
        <v>4.25</v>
      </c>
      <c r="R277" s="2" t="s">
        <v>28</v>
      </c>
      <c r="S277" s="2" t="s">
        <v>87</v>
      </c>
      <c r="T277" s="2" t="s">
        <v>90</v>
      </c>
      <c r="U277" s="2">
        <v>5</v>
      </c>
    </row>
    <row r="278" spans="1:21" x14ac:dyDescent="0.25">
      <c r="A278" s="2" t="s">
        <v>594</v>
      </c>
      <c r="B278" s="2" t="s">
        <v>595</v>
      </c>
      <c r="C278" s="2" t="str">
        <f>TEXT(TransactionsTable500[[#This Row],[Order Date]],"mmm")</f>
        <v>Jan</v>
      </c>
      <c r="D278" s="2" t="s">
        <v>177</v>
      </c>
      <c r="E278" s="2" t="s">
        <v>43</v>
      </c>
      <c r="F278" s="2" t="s">
        <v>44</v>
      </c>
      <c r="G278" s="2" t="s">
        <v>45</v>
      </c>
      <c r="H278" s="2" t="s">
        <v>203</v>
      </c>
      <c r="I278" s="2" t="s">
        <v>100</v>
      </c>
      <c r="J278" s="2">
        <v>1</v>
      </c>
      <c r="K278" s="3">
        <v>4.2</v>
      </c>
      <c r="L278" s="3">
        <v>4.2</v>
      </c>
      <c r="M278" s="4">
        <v>0</v>
      </c>
      <c r="N278" s="3">
        <v>0</v>
      </c>
      <c r="O278" s="3">
        <v>4.2</v>
      </c>
      <c r="P278" s="3">
        <v>1.41</v>
      </c>
      <c r="Q278" s="3">
        <v>2.79</v>
      </c>
      <c r="R278" s="2" t="s">
        <v>48</v>
      </c>
      <c r="S278" s="2" t="s">
        <v>87</v>
      </c>
      <c r="T278" s="2" t="s">
        <v>30</v>
      </c>
      <c r="U278" s="2">
        <v>3</v>
      </c>
    </row>
    <row r="279" spans="1:21" x14ac:dyDescent="0.25">
      <c r="A279" s="2" t="s">
        <v>596</v>
      </c>
      <c r="B279" s="2" t="s">
        <v>597</v>
      </c>
      <c r="C279" s="2" t="str">
        <f>TEXT(TransactionsTable500[[#This Row],[Order Date]],"mmm")</f>
        <v>Jan</v>
      </c>
      <c r="D279" s="2" t="s">
        <v>155</v>
      </c>
      <c r="E279" s="2" t="s">
        <v>61</v>
      </c>
      <c r="F279" s="2" t="s">
        <v>62</v>
      </c>
      <c r="G279" s="2" t="s">
        <v>156</v>
      </c>
      <c r="H279" s="2" t="s">
        <v>86</v>
      </c>
      <c r="I279" s="2" t="s">
        <v>27</v>
      </c>
      <c r="J279" s="2">
        <v>1</v>
      </c>
      <c r="K279" s="3">
        <v>4.8</v>
      </c>
      <c r="L279" s="3">
        <v>4.8</v>
      </c>
      <c r="M279" s="4">
        <v>0</v>
      </c>
      <c r="N279" s="3">
        <v>0</v>
      </c>
      <c r="O279" s="3">
        <v>4.8</v>
      </c>
      <c r="P279" s="3">
        <v>1.7</v>
      </c>
      <c r="Q279" s="3">
        <v>3.1</v>
      </c>
      <c r="R279" s="2" t="s">
        <v>48</v>
      </c>
      <c r="S279" s="2" t="s">
        <v>29</v>
      </c>
      <c r="T279" s="2" t="s">
        <v>90</v>
      </c>
      <c r="U279" s="2">
        <v>5</v>
      </c>
    </row>
    <row r="280" spans="1:21" x14ac:dyDescent="0.25">
      <c r="A280" s="2" t="s">
        <v>598</v>
      </c>
      <c r="B280" s="2" t="s">
        <v>597</v>
      </c>
      <c r="C280" s="2" t="str">
        <f>TEXT(TransactionsTable500[[#This Row],[Order Date]],"mmm")</f>
        <v>Jan</v>
      </c>
      <c r="D280" s="2" t="s">
        <v>129</v>
      </c>
      <c r="E280" s="2" t="s">
        <v>61</v>
      </c>
      <c r="F280" s="2" t="s">
        <v>62</v>
      </c>
      <c r="G280" s="2" t="s">
        <v>130</v>
      </c>
      <c r="H280" s="2" t="s">
        <v>228</v>
      </c>
      <c r="I280" s="2" t="s">
        <v>65</v>
      </c>
      <c r="J280" s="2">
        <v>3</v>
      </c>
      <c r="K280" s="3">
        <v>3.25</v>
      </c>
      <c r="L280" s="3">
        <v>9.75</v>
      </c>
      <c r="M280" s="4">
        <v>0.1</v>
      </c>
      <c r="N280" s="3">
        <v>0.98</v>
      </c>
      <c r="O280" s="3">
        <v>8.77</v>
      </c>
      <c r="P280" s="3">
        <v>3.49</v>
      </c>
      <c r="Q280" s="3">
        <v>5.28</v>
      </c>
      <c r="R280" s="2" t="s">
        <v>28</v>
      </c>
      <c r="S280" s="2" t="s">
        <v>66</v>
      </c>
      <c r="T280" s="2" t="s">
        <v>37</v>
      </c>
      <c r="U280" s="2">
        <v>5</v>
      </c>
    </row>
    <row r="281" spans="1:21" x14ac:dyDescent="0.25">
      <c r="A281" s="2" t="s">
        <v>599</v>
      </c>
      <c r="B281" s="2" t="s">
        <v>600</v>
      </c>
      <c r="C281" s="2" t="str">
        <f>TEXT(TransactionsTable500[[#This Row],[Order Date]],"mmm")</f>
        <v>Jan</v>
      </c>
      <c r="D281" s="2" t="s">
        <v>199</v>
      </c>
      <c r="E281" s="2" t="s">
        <v>70</v>
      </c>
      <c r="F281" s="2" t="s">
        <v>44</v>
      </c>
      <c r="G281" s="2" t="s">
        <v>200</v>
      </c>
      <c r="H281" s="2" t="s">
        <v>46</v>
      </c>
      <c r="I281" s="2" t="s">
        <v>47</v>
      </c>
      <c r="J281" s="2">
        <v>2</v>
      </c>
      <c r="K281" s="3">
        <v>8.51</v>
      </c>
      <c r="L281" s="3">
        <v>17.02</v>
      </c>
      <c r="M281" s="4">
        <v>0</v>
      </c>
      <c r="N281" s="3">
        <v>0</v>
      </c>
      <c r="O281" s="3">
        <v>17.02</v>
      </c>
      <c r="P281" s="3">
        <v>6.22</v>
      </c>
      <c r="Q281" s="3">
        <v>10.8</v>
      </c>
      <c r="R281" s="2" t="s">
        <v>28</v>
      </c>
      <c r="S281" s="2" t="s">
        <v>87</v>
      </c>
      <c r="T281" s="2" t="s">
        <v>30</v>
      </c>
      <c r="U281" s="2">
        <v>4</v>
      </c>
    </row>
    <row r="282" spans="1:21" x14ac:dyDescent="0.25">
      <c r="A282" s="2" t="s">
        <v>601</v>
      </c>
      <c r="B282" s="2" t="s">
        <v>602</v>
      </c>
      <c r="C282" s="2" t="str">
        <f>TEXT(TransactionsTable500[[#This Row],[Order Date]],"mmm")</f>
        <v>Jan</v>
      </c>
      <c r="D282" s="2" t="s">
        <v>216</v>
      </c>
      <c r="E282" s="2" t="s">
        <v>61</v>
      </c>
      <c r="F282" s="2" t="s">
        <v>62</v>
      </c>
      <c r="G282" s="2" t="s">
        <v>217</v>
      </c>
      <c r="H282" s="2" t="s">
        <v>77</v>
      </c>
      <c r="I282" s="2" t="s">
        <v>47</v>
      </c>
      <c r="J282" s="2">
        <v>2</v>
      </c>
      <c r="K282" s="3">
        <v>6.33</v>
      </c>
      <c r="L282" s="3">
        <v>12.66</v>
      </c>
      <c r="M282" s="4">
        <v>0</v>
      </c>
      <c r="N282" s="3">
        <v>0</v>
      </c>
      <c r="O282" s="3">
        <v>12.66</v>
      </c>
      <c r="P282" s="3">
        <v>4.72</v>
      </c>
      <c r="Q282" s="3">
        <v>7.94</v>
      </c>
      <c r="R282" s="2" t="s">
        <v>96</v>
      </c>
      <c r="S282" s="2" t="s">
        <v>29</v>
      </c>
      <c r="T282" s="2" t="s">
        <v>90</v>
      </c>
      <c r="U282" s="2">
        <v>5</v>
      </c>
    </row>
    <row r="283" spans="1:21" x14ac:dyDescent="0.25">
      <c r="A283" s="2" t="s">
        <v>603</v>
      </c>
      <c r="B283" s="2" t="s">
        <v>604</v>
      </c>
      <c r="C283" s="2" t="str">
        <f>TEXT(TransactionsTable500[[#This Row],[Order Date]],"mmm")</f>
        <v>Feb</v>
      </c>
      <c r="D283" s="2" t="s">
        <v>183</v>
      </c>
      <c r="E283" s="2" t="s">
        <v>184</v>
      </c>
      <c r="F283" s="2" t="s">
        <v>62</v>
      </c>
      <c r="G283" s="2" t="s">
        <v>185</v>
      </c>
      <c r="H283" s="2" t="s">
        <v>103</v>
      </c>
      <c r="I283" s="2" t="s">
        <v>27</v>
      </c>
      <c r="J283" s="2">
        <v>1</v>
      </c>
      <c r="K283" s="3">
        <v>5.01</v>
      </c>
      <c r="L283" s="3">
        <v>5.01</v>
      </c>
      <c r="M283" s="4">
        <v>0</v>
      </c>
      <c r="N283" s="3">
        <v>0</v>
      </c>
      <c r="O283" s="3">
        <v>5.01</v>
      </c>
      <c r="P283" s="3">
        <v>2.08</v>
      </c>
      <c r="Q283" s="3">
        <v>2.93</v>
      </c>
      <c r="R283" s="2" t="s">
        <v>48</v>
      </c>
      <c r="S283" s="2" t="s">
        <v>87</v>
      </c>
      <c r="T283" s="2" t="s">
        <v>90</v>
      </c>
      <c r="U283" s="2">
        <v>5</v>
      </c>
    </row>
    <row r="284" spans="1:21" x14ac:dyDescent="0.25">
      <c r="A284" s="2" t="s">
        <v>605</v>
      </c>
      <c r="B284" s="2" t="s">
        <v>606</v>
      </c>
      <c r="C284" s="2" t="str">
        <f>TEXT(TransactionsTable500[[#This Row],[Order Date]],"mmm")</f>
        <v>Feb</v>
      </c>
      <c r="D284" s="2" t="s">
        <v>22</v>
      </c>
      <c r="E284" s="2" t="s">
        <v>23</v>
      </c>
      <c r="F284" s="2" t="s">
        <v>24</v>
      </c>
      <c r="G284" s="2" t="s">
        <v>25</v>
      </c>
      <c r="H284" s="2" t="s">
        <v>99</v>
      </c>
      <c r="I284" s="2" t="s">
        <v>100</v>
      </c>
      <c r="J284" s="2">
        <v>1</v>
      </c>
      <c r="K284" s="3">
        <v>4.45</v>
      </c>
      <c r="L284" s="3">
        <v>4.45</v>
      </c>
      <c r="M284" s="4">
        <v>0.15</v>
      </c>
      <c r="N284" s="3">
        <v>0.67</v>
      </c>
      <c r="O284" s="3">
        <v>3.78</v>
      </c>
      <c r="P284" s="3">
        <v>1.24</v>
      </c>
      <c r="Q284" s="3">
        <v>2.54</v>
      </c>
      <c r="R284" s="2" t="s">
        <v>48</v>
      </c>
      <c r="S284" s="2" t="s">
        <v>66</v>
      </c>
      <c r="T284" s="2" t="s">
        <v>30</v>
      </c>
      <c r="U284" s="2">
        <v>4</v>
      </c>
    </row>
    <row r="285" spans="1:21" x14ac:dyDescent="0.25">
      <c r="A285" s="2" t="s">
        <v>607</v>
      </c>
      <c r="B285" s="2" t="s">
        <v>608</v>
      </c>
      <c r="C285" s="2" t="str">
        <f>TEXT(TransactionsTable500[[#This Row],[Order Date]],"mmm")</f>
        <v>Feb</v>
      </c>
      <c r="D285" s="2" t="s">
        <v>143</v>
      </c>
      <c r="E285" s="2" t="s">
        <v>43</v>
      </c>
      <c r="F285" s="2" t="s">
        <v>44</v>
      </c>
      <c r="G285" s="2" t="s">
        <v>144</v>
      </c>
      <c r="H285" s="2" t="s">
        <v>103</v>
      </c>
      <c r="I285" s="2" t="s">
        <v>27</v>
      </c>
      <c r="J285" s="2">
        <v>2</v>
      </c>
      <c r="K285" s="3">
        <v>5.05</v>
      </c>
      <c r="L285" s="3">
        <v>10.1</v>
      </c>
      <c r="M285" s="4">
        <v>0.15</v>
      </c>
      <c r="N285" s="3">
        <v>1.52</v>
      </c>
      <c r="O285" s="3">
        <v>8.58</v>
      </c>
      <c r="P285" s="3">
        <v>3.6</v>
      </c>
      <c r="Q285" s="3">
        <v>4.9800000000000004</v>
      </c>
      <c r="R285" s="2" t="s">
        <v>48</v>
      </c>
      <c r="S285" s="2" t="s">
        <v>29</v>
      </c>
      <c r="T285" s="2" t="s">
        <v>30</v>
      </c>
      <c r="U285" s="2">
        <v>5</v>
      </c>
    </row>
    <row r="286" spans="1:21" x14ac:dyDescent="0.25">
      <c r="A286" s="2" t="s">
        <v>609</v>
      </c>
      <c r="B286" s="2" t="s">
        <v>610</v>
      </c>
      <c r="C286" s="2" t="str">
        <f>TEXT(TransactionsTable500[[#This Row],[Order Date]],"mmm")</f>
        <v>Feb</v>
      </c>
      <c r="D286" s="2" t="s">
        <v>22</v>
      </c>
      <c r="E286" s="2" t="s">
        <v>23</v>
      </c>
      <c r="F286" s="2" t="s">
        <v>24</v>
      </c>
      <c r="G286" s="2" t="s">
        <v>25</v>
      </c>
      <c r="H286" s="2" t="s">
        <v>203</v>
      </c>
      <c r="I286" s="2" t="s">
        <v>100</v>
      </c>
      <c r="J286" s="2">
        <v>2</v>
      </c>
      <c r="K286" s="3">
        <v>4.2300000000000004</v>
      </c>
      <c r="L286" s="3">
        <v>8.4600000000000009</v>
      </c>
      <c r="M286" s="4">
        <v>0</v>
      </c>
      <c r="N286" s="3">
        <v>0</v>
      </c>
      <c r="O286" s="3">
        <v>8.4600000000000009</v>
      </c>
      <c r="P286" s="3">
        <v>3.06</v>
      </c>
      <c r="Q286" s="3">
        <v>5.4</v>
      </c>
      <c r="R286" s="2" t="s">
        <v>48</v>
      </c>
      <c r="S286" s="2" t="s">
        <v>36</v>
      </c>
      <c r="T286" s="2" t="s">
        <v>30</v>
      </c>
      <c r="U286" s="2">
        <v>5</v>
      </c>
    </row>
    <row r="287" spans="1:21" x14ac:dyDescent="0.25">
      <c r="A287" s="2" t="s">
        <v>611</v>
      </c>
      <c r="B287" s="2" t="s">
        <v>612</v>
      </c>
      <c r="C287" s="2" t="str">
        <f>TEXT(TransactionsTable500[[#This Row],[Order Date]],"mmm")</f>
        <v>Feb</v>
      </c>
      <c r="D287" s="2" t="s">
        <v>270</v>
      </c>
      <c r="E287" s="2" t="s">
        <v>70</v>
      </c>
      <c r="F287" s="2" t="s">
        <v>44</v>
      </c>
      <c r="G287" s="2" t="s">
        <v>200</v>
      </c>
      <c r="H287" s="2" t="s">
        <v>157</v>
      </c>
      <c r="I287" s="2" t="s">
        <v>47</v>
      </c>
      <c r="J287" s="2">
        <v>1</v>
      </c>
      <c r="K287" s="3">
        <v>7.48</v>
      </c>
      <c r="L287" s="3">
        <v>7.48</v>
      </c>
      <c r="M287" s="4">
        <v>0</v>
      </c>
      <c r="N287" s="3">
        <v>0</v>
      </c>
      <c r="O287" s="3">
        <v>7.48</v>
      </c>
      <c r="P287" s="3">
        <v>2.71</v>
      </c>
      <c r="Q287" s="3">
        <v>4.7699999999999996</v>
      </c>
      <c r="R287" s="2" t="s">
        <v>28</v>
      </c>
      <c r="S287" s="2" t="s">
        <v>87</v>
      </c>
      <c r="T287" s="2" t="s">
        <v>30</v>
      </c>
      <c r="U287" s="2">
        <v>5</v>
      </c>
    </row>
    <row r="288" spans="1:21" x14ac:dyDescent="0.25">
      <c r="A288" s="2" t="s">
        <v>613</v>
      </c>
      <c r="B288" s="2" t="s">
        <v>614</v>
      </c>
      <c r="C288" s="2" t="str">
        <f>TEXT(TransactionsTable500[[#This Row],[Order Date]],"mmm")</f>
        <v>Feb</v>
      </c>
      <c r="D288" s="2" t="s">
        <v>221</v>
      </c>
      <c r="E288" s="2" t="s">
        <v>61</v>
      </c>
      <c r="F288" s="2" t="s">
        <v>62</v>
      </c>
      <c r="G288" s="2" t="s">
        <v>63</v>
      </c>
      <c r="H288" s="2" t="s">
        <v>112</v>
      </c>
      <c r="I288" s="2" t="s">
        <v>100</v>
      </c>
      <c r="J288" s="2">
        <v>2</v>
      </c>
      <c r="K288" s="3">
        <v>3.87</v>
      </c>
      <c r="L288" s="3">
        <v>7.74</v>
      </c>
      <c r="M288" s="4">
        <v>0.05</v>
      </c>
      <c r="N288" s="3">
        <v>0.39</v>
      </c>
      <c r="O288" s="3">
        <v>7.35</v>
      </c>
      <c r="P288" s="3">
        <v>2.5499999999999998</v>
      </c>
      <c r="Q288" s="3">
        <v>4.8</v>
      </c>
      <c r="R288" s="2" t="s">
        <v>48</v>
      </c>
      <c r="S288" s="2" t="s">
        <v>66</v>
      </c>
      <c r="T288" s="2" t="s">
        <v>30</v>
      </c>
      <c r="U288" s="2">
        <v>5</v>
      </c>
    </row>
    <row r="289" spans="1:21" x14ac:dyDescent="0.25">
      <c r="A289" s="2" t="s">
        <v>615</v>
      </c>
      <c r="B289" s="2" t="s">
        <v>616</v>
      </c>
      <c r="C289" s="2" t="str">
        <f>TEXT(TransactionsTable500[[#This Row],[Order Date]],"mmm")</f>
        <v>Feb</v>
      </c>
      <c r="D289" s="2" t="s">
        <v>22</v>
      </c>
      <c r="E289" s="2" t="s">
        <v>23</v>
      </c>
      <c r="F289" s="2" t="s">
        <v>24</v>
      </c>
      <c r="G289" s="2" t="s">
        <v>25</v>
      </c>
      <c r="H289" s="2" t="s">
        <v>99</v>
      </c>
      <c r="I289" s="2" t="s">
        <v>100</v>
      </c>
      <c r="J289" s="2">
        <v>2</v>
      </c>
      <c r="K289" s="3">
        <v>4.28</v>
      </c>
      <c r="L289" s="3">
        <v>8.56</v>
      </c>
      <c r="M289" s="4">
        <v>0.05</v>
      </c>
      <c r="N289" s="3">
        <v>0.43</v>
      </c>
      <c r="O289" s="3">
        <v>8.1300000000000008</v>
      </c>
      <c r="P289" s="3">
        <v>3.33</v>
      </c>
      <c r="Q289" s="3">
        <v>4.8</v>
      </c>
      <c r="R289" s="2" t="s">
        <v>28</v>
      </c>
      <c r="S289" s="2" t="s">
        <v>29</v>
      </c>
      <c r="T289" s="2" t="s">
        <v>37</v>
      </c>
      <c r="U289" s="2">
        <v>4</v>
      </c>
    </row>
    <row r="290" spans="1:21" x14ac:dyDescent="0.25">
      <c r="A290" s="2" t="s">
        <v>617</v>
      </c>
      <c r="B290" s="2" t="s">
        <v>616</v>
      </c>
      <c r="C290" s="2" t="str">
        <f>TEXT(TransactionsTable500[[#This Row],[Order Date]],"mmm")</f>
        <v>Feb</v>
      </c>
      <c r="D290" s="2" t="s">
        <v>60</v>
      </c>
      <c r="E290" s="2" t="s">
        <v>61</v>
      </c>
      <c r="F290" s="2" t="s">
        <v>62</v>
      </c>
      <c r="G290" s="2" t="s">
        <v>63</v>
      </c>
      <c r="H290" s="2" t="s">
        <v>72</v>
      </c>
      <c r="I290" s="2" t="s">
        <v>58</v>
      </c>
      <c r="J290" s="2">
        <v>1</v>
      </c>
      <c r="K290" s="3">
        <v>15.43</v>
      </c>
      <c r="L290" s="3">
        <v>15.43</v>
      </c>
      <c r="M290" s="4">
        <v>0</v>
      </c>
      <c r="N290" s="3">
        <v>0</v>
      </c>
      <c r="O290" s="3">
        <v>15.43</v>
      </c>
      <c r="P290" s="3">
        <v>5.88</v>
      </c>
      <c r="Q290" s="3">
        <v>9.5500000000000007</v>
      </c>
      <c r="R290" s="2" t="s">
        <v>96</v>
      </c>
      <c r="S290" s="2" t="s">
        <v>66</v>
      </c>
      <c r="T290" s="2" t="s">
        <v>37</v>
      </c>
      <c r="U290" s="2">
        <v>5</v>
      </c>
    </row>
    <row r="291" spans="1:21" x14ac:dyDescent="0.25">
      <c r="A291" s="2" t="s">
        <v>618</v>
      </c>
      <c r="B291" s="2" t="s">
        <v>619</v>
      </c>
      <c r="C291" s="2" t="str">
        <f>TEXT(TransactionsTable500[[#This Row],[Order Date]],"mmm")</f>
        <v>Feb</v>
      </c>
      <c r="D291" s="2" t="s">
        <v>55</v>
      </c>
      <c r="E291" s="2" t="s">
        <v>43</v>
      </c>
      <c r="F291" s="2" t="s">
        <v>44</v>
      </c>
      <c r="G291" s="2" t="s">
        <v>56</v>
      </c>
      <c r="H291" s="2" t="s">
        <v>72</v>
      </c>
      <c r="I291" s="2" t="s">
        <v>58</v>
      </c>
      <c r="J291" s="2">
        <v>2</v>
      </c>
      <c r="K291" s="3">
        <v>14.39</v>
      </c>
      <c r="L291" s="3">
        <v>28.78</v>
      </c>
      <c r="M291" s="4">
        <v>0</v>
      </c>
      <c r="N291" s="3">
        <v>0</v>
      </c>
      <c r="O291" s="3">
        <v>28.78</v>
      </c>
      <c r="P291" s="3">
        <v>11.95</v>
      </c>
      <c r="Q291" s="3">
        <v>16.829999999999998</v>
      </c>
      <c r="R291" s="2" t="s">
        <v>48</v>
      </c>
      <c r="S291" s="2" t="s">
        <v>87</v>
      </c>
      <c r="T291" s="2" t="s">
        <v>90</v>
      </c>
      <c r="U291" s="2">
        <v>5</v>
      </c>
    </row>
    <row r="292" spans="1:21" x14ac:dyDescent="0.25">
      <c r="A292" s="2" t="s">
        <v>620</v>
      </c>
      <c r="B292" s="2" t="s">
        <v>619</v>
      </c>
      <c r="C292" s="2" t="str">
        <f>TEXT(TransactionsTable500[[#This Row],[Order Date]],"mmm")</f>
        <v>Feb</v>
      </c>
      <c r="D292" s="2" t="s">
        <v>75</v>
      </c>
      <c r="E292" s="2" t="s">
        <v>70</v>
      </c>
      <c r="F292" s="2" t="s">
        <v>44</v>
      </c>
      <c r="G292" s="2" t="s">
        <v>76</v>
      </c>
      <c r="H292" s="2" t="s">
        <v>64</v>
      </c>
      <c r="I292" s="2" t="s">
        <v>65</v>
      </c>
      <c r="J292" s="2">
        <v>2</v>
      </c>
      <c r="K292" s="3">
        <v>2.5099999999999998</v>
      </c>
      <c r="L292" s="3">
        <v>5.0199999999999996</v>
      </c>
      <c r="M292" s="4">
        <v>0</v>
      </c>
      <c r="N292" s="3">
        <v>0</v>
      </c>
      <c r="O292" s="3">
        <v>5.0199999999999996</v>
      </c>
      <c r="P292" s="3">
        <v>1.84</v>
      </c>
      <c r="Q292" s="3">
        <v>3.18</v>
      </c>
      <c r="R292" s="2" t="s">
        <v>48</v>
      </c>
      <c r="S292" s="2" t="s">
        <v>66</v>
      </c>
      <c r="T292" s="2" t="s">
        <v>37</v>
      </c>
      <c r="U292" s="2">
        <v>5</v>
      </c>
    </row>
    <row r="293" spans="1:21" x14ac:dyDescent="0.25">
      <c r="A293" s="2" t="s">
        <v>621</v>
      </c>
      <c r="B293" s="2" t="s">
        <v>622</v>
      </c>
      <c r="C293" s="2" t="str">
        <f>TEXT(TransactionsTable500[[#This Row],[Order Date]],"mmm")</f>
        <v>Feb</v>
      </c>
      <c r="D293" s="2" t="s">
        <v>127</v>
      </c>
      <c r="E293" s="2" t="s">
        <v>23</v>
      </c>
      <c r="F293" s="2" t="s">
        <v>24</v>
      </c>
      <c r="G293" s="2" t="s">
        <v>25</v>
      </c>
      <c r="H293" s="2" t="s">
        <v>99</v>
      </c>
      <c r="I293" s="2" t="s">
        <v>100</v>
      </c>
      <c r="J293" s="2">
        <v>1</v>
      </c>
      <c r="K293" s="3">
        <v>4.59</v>
      </c>
      <c r="L293" s="3">
        <v>4.59</v>
      </c>
      <c r="M293" s="4">
        <v>0</v>
      </c>
      <c r="N293" s="3">
        <v>0</v>
      </c>
      <c r="O293" s="3">
        <v>4.59</v>
      </c>
      <c r="P293" s="3">
        <v>1.85</v>
      </c>
      <c r="Q293" s="3">
        <v>2.74</v>
      </c>
      <c r="R293" s="2" t="s">
        <v>28</v>
      </c>
      <c r="S293" s="2" t="s">
        <v>66</v>
      </c>
      <c r="T293" s="2" t="s">
        <v>90</v>
      </c>
      <c r="U293" s="2">
        <v>3</v>
      </c>
    </row>
    <row r="294" spans="1:21" x14ac:dyDescent="0.25">
      <c r="A294" s="2" t="s">
        <v>623</v>
      </c>
      <c r="B294" s="2" t="s">
        <v>624</v>
      </c>
      <c r="C294" s="2" t="str">
        <f>TEXT(TransactionsTable500[[#This Row],[Order Date]],"mmm")</f>
        <v>Feb</v>
      </c>
      <c r="D294" s="2" t="s">
        <v>183</v>
      </c>
      <c r="E294" s="2" t="s">
        <v>184</v>
      </c>
      <c r="F294" s="2" t="s">
        <v>62</v>
      </c>
      <c r="G294" s="2" t="s">
        <v>185</v>
      </c>
      <c r="H294" s="2" t="s">
        <v>169</v>
      </c>
      <c r="I294" s="2" t="s">
        <v>65</v>
      </c>
      <c r="J294" s="2">
        <v>2</v>
      </c>
      <c r="K294" s="3">
        <v>3.05</v>
      </c>
      <c r="L294" s="3">
        <v>6.1</v>
      </c>
      <c r="M294" s="4">
        <v>0</v>
      </c>
      <c r="N294" s="3">
        <v>0</v>
      </c>
      <c r="O294" s="3">
        <v>6.1</v>
      </c>
      <c r="P294" s="3">
        <v>2.0299999999999998</v>
      </c>
      <c r="Q294" s="3">
        <v>4.07</v>
      </c>
      <c r="R294" s="2" t="s">
        <v>96</v>
      </c>
      <c r="S294" s="2" t="s">
        <v>66</v>
      </c>
      <c r="T294" s="2" t="s">
        <v>30</v>
      </c>
      <c r="U294" s="2">
        <v>5</v>
      </c>
    </row>
    <row r="295" spans="1:21" x14ac:dyDescent="0.25">
      <c r="A295" s="2" t="s">
        <v>625</v>
      </c>
      <c r="B295" s="2" t="s">
        <v>626</v>
      </c>
      <c r="C295" s="2" t="str">
        <f>TEXT(TransactionsTable500[[#This Row],[Order Date]],"mmm")</f>
        <v>Feb</v>
      </c>
      <c r="D295" s="2" t="s">
        <v>183</v>
      </c>
      <c r="E295" s="2" t="s">
        <v>184</v>
      </c>
      <c r="F295" s="2" t="s">
        <v>62</v>
      </c>
      <c r="G295" s="2" t="s">
        <v>185</v>
      </c>
      <c r="H295" s="2" t="s">
        <v>57</v>
      </c>
      <c r="I295" s="2" t="s">
        <v>58</v>
      </c>
      <c r="J295" s="2">
        <v>1</v>
      </c>
      <c r="K295" s="3">
        <v>8.83</v>
      </c>
      <c r="L295" s="3">
        <v>8.83</v>
      </c>
      <c r="M295" s="4">
        <v>0</v>
      </c>
      <c r="N295" s="3">
        <v>0</v>
      </c>
      <c r="O295" s="3">
        <v>8.83</v>
      </c>
      <c r="P295" s="3">
        <v>3.44</v>
      </c>
      <c r="Q295" s="3">
        <v>5.39</v>
      </c>
      <c r="R295" s="2" t="s">
        <v>28</v>
      </c>
      <c r="S295" s="2" t="s">
        <v>66</v>
      </c>
      <c r="T295" s="2" t="s">
        <v>37</v>
      </c>
      <c r="U295" s="2">
        <v>3</v>
      </c>
    </row>
    <row r="296" spans="1:21" x14ac:dyDescent="0.25">
      <c r="A296" s="2" t="s">
        <v>627</v>
      </c>
      <c r="B296" s="2" t="s">
        <v>628</v>
      </c>
      <c r="C296" s="2" t="str">
        <f>TEXT(TransactionsTable500[[#This Row],[Order Date]],"mmm")</f>
        <v>Feb</v>
      </c>
      <c r="D296" s="2" t="s">
        <v>22</v>
      </c>
      <c r="E296" s="2" t="s">
        <v>23</v>
      </c>
      <c r="F296" s="2" t="s">
        <v>24</v>
      </c>
      <c r="G296" s="2" t="s">
        <v>25</v>
      </c>
      <c r="H296" s="2" t="s">
        <v>53</v>
      </c>
      <c r="I296" s="2" t="s">
        <v>27</v>
      </c>
      <c r="J296" s="2">
        <v>3</v>
      </c>
      <c r="K296" s="3">
        <v>3.86</v>
      </c>
      <c r="L296" s="3">
        <v>11.58</v>
      </c>
      <c r="M296" s="4">
        <v>0</v>
      </c>
      <c r="N296" s="3">
        <v>0</v>
      </c>
      <c r="O296" s="3">
        <v>11.58</v>
      </c>
      <c r="P296" s="3">
        <v>3.91</v>
      </c>
      <c r="Q296" s="3">
        <v>7.67</v>
      </c>
      <c r="R296" s="2" t="s">
        <v>48</v>
      </c>
      <c r="S296" s="2" t="s">
        <v>66</v>
      </c>
      <c r="T296" s="2" t="s">
        <v>30</v>
      </c>
      <c r="U296" s="2">
        <v>5</v>
      </c>
    </row>
    <row r="297" spans="1:21" x14ac:dyDescent="0.25">
      <c r="A297" s="2" t="s">
        <v>629</v>
      </c>
      <c r="B297" s="2" t="s">
        <v>630</v>
      </c>
      <c r="C297" s="2" t="str">
        <f>TEXT(TransactionsTable500[[#This Row],[Order Date]],"mmm")</f>
        <v>Feb</v>
      </c>
      <c r="D297" s="2" t="s">
        <v>22</v>
      </c>
      <c r="E297" s="2" t="s">
        <v>23</v>
      </c>
      <c r="F297" s="2" t="s">
        <v>24</v>
      </c>
      <c r="G297" s="2" t="s">
        <v>25</v>
      </c>
      <c r="H297" s="2" t="s">
        <v>53</v>
      </c>
      <c r="I297" s="2" t="s">
        <v>27</v>
      </c>
      <c r="J297" s="2">
        <v>1</v>
      </c>
      <c r="K297" s="3">
        <v>3.99</v>
      </c>
      <c r="L297" s="3">
        <v>3.99</v>
      </c>
      <c r="M297" s="4">
        <v>0</v>
      </c>
      <c r="N297" s="3">
        <v>0</v>
      </c>
      <c r="O297" s="3">
        <v>3.99</v>
      </c>
      <c r="P297" s="3">
        <v>1.42</v>
      </c>
      <c r="Q297" s="3">
        <v>2.57</v>
      </c>
      <c r="R297" s="2" t="s">
        <v>48</v>
      </c>
      <c r="S297" s="2" t="s">
        <v>29</v>
      </c>
      <c r="T297" s="2" t="s">
        <v>30</v>
      </c>
      <c r="U297" s="2">
        <v>5</v>
      </c>
    </row>
    <row r="298" spans="1:21" x14ac:dyDescent="0.25">
      <c r="A298" s="2" t="s">
        <v>631</v>
      </c>
      <c r="B298" s="2" t="s">
        <v>632</v>
      </c>
      <c r="C298" s="2" t="str">
        <f>TEXT(TransactionsTable500[[#This Row],[Order Date]],"mmm")</f>
        <v>Feb</v>
      </c>
      <c r="D298" s="2" t="s">
        <v>42</v>
      </c>
      <c r="E298" s="2" t="s">
        <v>43</v>
      </c>
      <c r="F298" s="2" t="s">
        <v>44</v>
      </c>
      <c r="G298" s="2" t="s">
        <v>45</v>
      </c>
      <c r="H298" s="2" t="s">
        <v>203</v>
      </c>
      <c r="I298" s="2" t="s">
        <v>100</v>
      </c>
      <c r="J298" s="2">
        <v>2</v>
      </c>
      <c r="K298" s="3">
        <v>4.0999999999999996</v>
      </c>
      <c r="L298" s="3">
        <v>8.1999999999999993</v>
      </c>
      <c r="M298" s="4">
        <v>0.05</v>
      </c>
      <c r="N298" s="3">
        <v>0.41</v>
      </c>
      <c r="O298" s="3">
        <v>7.79</v>
      </c>
      <c r="P298" s="3">
        <v>2.85</v>
      </c>
      <c r="Q298" s="3">
        <v>4.9400000000000004</v>
      </c>
      <c r="R298" s="2" t="s">
        <v>28</v>
      </c>
      <c r="S298" s="2" t="s">
        <v>29</v>
      </c>
      <c r="T298" s="2" t="s">
        <v>30</v>
      </c>
      <c r="U298" s="2">
        <v>4</v>
      </c>
    </row>
    <row r="299" spans="1:21" x14ac:dyDescent="0.25">
      <c r="A299" s="2" t="s">
        <v>633</v>
      </c>
      <c r="B299" s="2" t="s">
        <v>634</v>
      </c>
      <c r="C299" s="2" t="str">
        <f>TEXT(TransactionsTable500[[#This Row],[Order Date]],"mmm")</f>
        <v>Mar</v>
      </c>
      <c r="D299" s="2" t="s">
        <v>127</v>
      </c>
      <c r="E299" s="2" t="s">
        <v>23</v>
      </c>
      <c r="F299" s="2" t="s">
        <v>24</v>
      </c>
      <c r="G299" s="2" t="s">
        <v>25</v>
      </c>
      <c r="H299" s="2" t="s">
        <v>140</v>
      </c>
      <c r="I299" s="2" t="s">
        <v>58</v>
      </c>
      <c r="J299" s="2">
        <v>4</v>
      </c>
      <c r="K299" s="3">
        <v>12.33</v>
      </c>
      <c r="L299" s="3">
        <v>49.32</v>
      </c>
      <c r="M299" s="4">
        <v>0.15</v>
      </c>
      <c r="N299" s="3">
        <v>7.4</v>
      </c>
      <c r="O299" s="3">
        <v>41.92</v>
      </c>
      <c r="P299" s="3">
        <v>14.11</v>
      </c>
      <c r="Q299" s="3">
        <v>27.81</v>
      </c>
      <c r="R299" s="2" t="s">
        <v>28</v>
      </c>
      <c r="S299" s="2" t="s">
        <v>66</v>
      </c>
      <c r="T299" s="2" t="s">
        <v>37</v>
      </c>
      <c r="U299" s="2">
        <v>5</v>
      </c>
    </row>
    <row r="300" spans="1:21" x14ac:dyDescent="0.25">
      <c r="A300" s="2" t="s">
        <v>635</v>
      </c>
      <c r="B300" s="2" t="s">
        <v>634</v>
      </c>
      <c r="C300" s="2" t="str">
        <f>TEXT(TransactionsTable500[[#This Row],[Order Date]],"mmm")</f>
        <v>Mar</v>
      </c>
      <c r="D300" s="2" t="s">
        <v>216</v>
      </c>
      <c r="E300" s="2" t="s">
        <v>61</v>
      </c>
      <c r="F300" s="2" t="s">
        <v>62</v>
      </c>
      <c r="G300" s="2" t="s">
        <v>217</v>
      </c>
      <c r="H300" s="2" t="s">
        <v>64</v>
      </c>
      <c r="I300" s="2" t="s">
        <v>65</v>
      </c>
      <c r="J300" s="2">
        <v>1</v>
      </c>
      <c r="K300" s="3">
        <v>2.48</v>
      </c>
      <c r="L300" s="3">
        <v>2.48</v>
      </c>
      <c r="M300" s="4">
        <v>0</v>
      </c>
      <c r="N300" s="3">
        <v>0</v>
      </c>
      <c r="O300" s="3">
        <v>2.48</v>
      </c>
      <c r="P300" s="3">
        <v>0.87</v>
      </c>
      <c r="Q300" s="3">
        <v>1.61</v>
      </c>
      <c r="R300" s="2" t="s">
        <v>96</v>
      </c>
      <c r="S300" s="2" t="s">
        <v>29</v>
      </c>
      <c r="T300" s="2" t="s">
        <v>37</v>
      </c>
      <c r="U300" s="2">
        <v>4</v>
      </c>
    </row>
    <row r="301" spans="1:21" x14ac:dyDescent="0.25">
      <c r="A301" s="2" t="s">
        <v>636</v>
      </c>
      <c r="B301" s="2" t="s">
        <v>637</v>
      </c>
      <c r="C301" s="2" t="str">
        <f>TEXT(TransactionsTable500[[#This Row],[Order Date]],"mmm")</f>
        <v>Mar</v>
      </c>
      <c r="D301" s="2" t="s">
        <v>143</v>
      </c>
      <c r="E301" s="2" t="s">
        <v>43</v>
      </c>
      <c r="F301" s="2" t="s">
        <v>44</v>
      </c>
      <c r="G301" s="2" t="s">
        <v>144</v>
      </c>
      <c r="H301" s="2" t="s">
        <v>140</v>
      </c>
      <c r="I301" s="2" t="s">
        <v>58</v>
      </c>
      <c r="J301" s="2">
        <v>1</v>
      </c>
      <c r="K301" s="3">
        <v>12.19</v>
      </c>
      <c r="L301" s="3">
        <v>12.19</v>
      </c>
      <c r="M301" s="4">
        <v>0</v>
      </c>
      <c r="N301" s="3">
        <v>0</v>
      </c>
      <c r="O301" s="3">
        <v>12.19</v>
      </c>
      <c r="P301" s="3">
        <v>4.2</v>
      </c>
      <c r="Q301" s="3">
        <v>7.99</v>
      </c>
      <c r="R301" s="2" t="s">
        <v>28</v>
      </c>
      <c r="S301" s="2" t="s">
        <v>29</v>
      </c>
      <c r="T301" s="2" t="s">
        <v>30</v>
      </c>
      <c r="U301" s="2">
        <v>5</v>
      </c>
    </row>
    <row r="302" spans="1:21" x14ac:dyDescent="0.25">
      <c r="A302" s="2" t="s">
        <v>638</v>
      </c>
      <c r="B302" s="2" t="s">
        <v>639</v>
      </c>
      <c r="C302" s="2" t="str">
        <f>TEXT(TransactionsTable500[[#This Row],[Order Date]],"mmm")</f>
        <v>Mar</v>
      </c>
      <c r="D302" s="2" t="s">
        <v>143</v>
      </c>
      <c r="E302" s="2" t="s">
        <v>43</v>
      </c>
      <c r="F302" s="2" t="s">
        <v>44</v>
      </c>
      <c r="G302" s="2" t="s">
        <v>144</v>
      </c>
      <c r="H302" s="2" t="s">
        <v>26</v>
      </c>
      <c r="I302" s="2" t="s">
        <v>27</v>
      </c>
      <c r="J302" s="2">
        <v>5</v>
      </c>
      <c r="K302" s="3">
        <v>5.04</v>
      </c>
      <c r="L302" s="3">
        <v>25.2</v>
      </c>
      <c r="M302" s="4">
        <v>0</v>
      </c>
      <c r="N302" s="3">
        <v>0</v>
      </c>
      <c r="O302" s="3">
        <v>25.2</v>
      </c>
      <c r="P302" s="3">
        <v>10.23</v>
      </c>
      <c r="Q302" s="3">
        <v>14.97</v>
      </c>
      <c r="R302" s="2" t="s">
        <v>48</v>
      </c>
      <c r="S302" s="2" t="s">
        <v>66</v>
      </c>
      <c r="T302" s="2" t="s">
        <v>30</v>
      </c>
      <c r="U302" s="2">
        <v>4</v>
      </c>
    </row>
    <row r="303" spans="1:21" x14ac:dyDescent="0.25">
      <c r="A303" s="2" t="s">
        <v>640</v>
      </c>
      <c r="B303" s="2" t="s">
        <v>639</v>
      </c>
      <c r="C303" s="2" t="str">
        <f>TEXT(TransactionsTable500[[#This Row],[Order Date]],"mmm")</f>
        <v>Mar</v>
      </c>
      <c r="D303" s="2" t="s">
        <v>216</v>
      </c>
      <c r="E303" s="2" t="s">
        <v>61</v>
      </c>
      <c r="F303" s="2" t="s">
        <v>62</v>
      </c>
      <c r="G303" s="2" t="s">
        <v>217</v>
      </c>
      <c r="H303" s="2" t="s">
        <v>26</v>
      </c>
      <c r="I303" s="2" t="s">
        <v>27</v>
      </c>
      <c r="J303" s="2">
        <v>1</v>
      </c>
      <c r="K303" s="3">
        <v>5.15</v>
      </c>
      <c r="L303" s="3">
        <v>5.15</v>
      </c>
      <c r="M303" s="4">
        <v>0</v>
      </c>
      <c r="N303" s="3">
        <v>0</v>
      </c>
      <c r="O303" s="3">
        <v>5.15</v>
      </c>
      <c r="P303" s="3">
        <v>2.0699999999999998</v>
      </c>
      <c r="Q303" s="3">
        <v>3.08</v>
      </c>
      <c r="R303" s="2" t="s">
        <v>28</v>
      </c>
      <c r="S303" s="2" t="s">
        <v>87</v>
      </c>
      <c r="T303" s="2" t="s">
        <v>30</v>
      </c>
      <c r="U303" s="2">
        <v>5</v>
      </c>
    </row>
    <row r="304" spans="1:21" x14ac:dyDescent="0.25">
      <c r="A304" s="2" t="s">
        <v>641</v>
      </c>
      <c r="B304" s="2" t="s">
        <v>642</v>
      </c>
      <c r="C304" s="2" t="str">
        <f>TEXT(TransactionsTable500[[#This Row],[Order Date]],"mmm")</f>
        <v>Mar</v>
      </c>
      <c r="D304" s="2" t="s">
        <v>51</v>
      </c>
      <c r="E304" s="2" t="s">
        <v>23</v>
      </c>
      <c r="F304" s="2" t="s">
        <v>24</v>
      </c>
      <c r="G304" s="2" t="s">
        <v>52</v>
      </c>
      <c r="H304" s="2" t="s">
        <v>112</v>
      </c>
      <c r="I304" s="2" t="s">
        <v>100</v>
      </c>
      <c r="J304" s="2">
        <v>1</v>
      </c>
      <c r="K304" s="3">
        <v>3.99</v>
      </c>
      <c r="L304" s="3">
        <v>3.99</v>
      </c>
      <c r="M304" s="4">
        <v>0</v>
      </c>
      <c r="N304" s="3">
        <v>0</v>
      </c>
      <c r="O304" s="3">
        <v>3.99</v>
      </c>
      <c r="P304" s="3">
        <v>1.42</v>
      </c>
      <c r="Q304" s="3">
        <v>2.57</v>
      </c>
      <c r="R304" s="2" t="s">
        <v>28</v>
      </c>
      <c r="S304" s="2" t="s">
        <v>87</v>
      </c>
      <c r="T304" s="2" t="s">
        <v>30</v>
      </c>
      <c r="U304" s="2">
        <v>4</v>
      </c>
    </row>
    <row r="305" spans="1:21" x14ac:dyDescent="0.25">
      <c r="A305" s="2" t="s">
        <v>643</v>
      </c>
      <c r="B305" s="2" t="s">
        <v>644</v>
      </c>
      <c r="C305" s="2" t="str">
        <f>TEXT(TransactionsTable500[[#This Row],[Order Date]],"mmm")</f>
        <v>Mar</v>
      </c>
      <c r="D305" s="2" t="s">
        <v>84</v>
      </c>
      <c r="E305" s="2" t="s">
        <v>61</v>
      </c>
      <c r="F305" s="2" t="s">
        <v>62</v>
      </c>
      <c r="G305" s="2" t="s">
        <v>85</v>
      </c>
      <c r="H305" s="2" t="s">
        <v>106</v>
      </c>
      <c r="I305" s="2" t="s">
        <v>100</v>
      </c>
      <c r="J305" s="2">
        <v>1</v>
      </c>
      <c r="K305" s="3">
        <v>3.59</v>
      </c>
      <c r="L305" s="3">
        <v>3.59</v>
      </c>
      <c r="M305" s="4">
        <v>0</v>
      </c>
      <c r="N305" s="3">
        <v>0</v>
      </c>
      <c r="O305" s="3">
        <v>3.59</v>
      </c>
      <c r="P305" s="3">
        <v>1.27</v>
      </c>
      <c r="Q305" s="3">
        <v>2.3199999999999998</v>
      </c>
      <c r="R305" s="2" t="s">
        <v>48</v>
      </c>
      <c r="S305" s="2" t="s">
        <v>29</v>
      </c>
      <c r="T305" s="2" t="s">
        <v>30</v>
      </c>
      <c r="U305" s="2">
        <v>5</v>
      </c>
    </row>
    <row r="306" spans="1:21" x14ac:dyDescent="0.25">
      <c r="A306" s="2" t="s">
        <v>645</v>
      </c>
      <c r="B306" s="2" t="s">
        <v>646</v>
      </c>
      <c r="C306" s="2" t="str">
        <f>TEXT(TransactionsTable500[[#This Row],[Order Date]],"mmm")</f>
        <v>Mar</v>
      </c>
      <c r="D306" s="2" t="s">
        <v>221</v>
      </c>
      <c r="E306" s="2" t="s">
        <v>61</v>
      </c>
      <c r="F306" s="2" t="s">
        <v>62</v>
      </c>
      <c r="G306" s="2" t="s">
        <v>63</v>
      </c>
      <c r="H306" s="2" t="s">
        <v>140</v>
      </c>
      <c r="I306" s="2" t="s">
        <v>58</v>
      </c>
      <c r="J306" s="2">
        <v>1</v>
      </c>
      <c r="K306" s="3">
        <v>12.86</v>
      </c>
      <c r="L306" s="3">
        <v>12.86</v>
      </c>
      <c r="M306" s="4">
        <v>0</v>
      </c>
      <c r="N306" s="3">
        <v>0</v>
      </c>
      <c r="O306" s="3">
        <v>12.86</v>
      </c>
      <c r="P306" s="3">
        <v>4.84</v>
      </c>
      <c r="Q306" s="3">
        <v>8.02</v>
      </c>
      <c r="R306" s="2" t="s">
        <v>48</v>
      </c>
      <c r="S306" s="2" t="s">
        <v>66</v>
      </c>
      <c r="T306" s="2" t="s">
        <v>37</v>
      </c>
      <c r="U306" s="2">
        <v>5</v>
      </c>
    </row>
    <row r="307" spans="1:21" x14ac:dyDescent="0.25">
      <c r="A307" s="2" t="s">
        <v>647</v>
      </c>
      <c r="B307" s="2" t="s">
        <v>648</v>
      </c>
      <c r="C307" s="2" t="str">
        <f>TEXT(TransactionsTable500[[#This Row],[Order Date]],"mmm")</f>
        <v>Mar</v>
      </c>
      <c r="D307" s="2" t="s">
        <v>216</v>
      </c>
      <c r="E307" s="2" t="s">
        <v>61</v>
      </c>
      <c r="F307" s="2" t="s">
        <v>62</v>
      </c>
      <c r="G307" s="2" t="s">
        <v>217</v>
      </c>
      <c r="H307" s="2" t="s">
        <v>228</v>
      </c>
      <c r="I307" s="2" t="s">
        <v>65</v>
      </c>
      <c r="J307" s="2">
        <v>1</v>
      </c>
      <c r="K307" s="3">
        <v>3.4</v>
      </c>
      <c r="L307" s="3">
        <v>3.4</v>
      </c>
      <c r="M307" s="4">
        <v>0.05</v>
      </c>
      <c r="N307" s="3">
        <v>0.17</v>
      </c>
      <c r="O307" s="3">
        <v>3.23</v>
      </c>
      <c r="P307" s="3">
        <v>1.1299999999999999</v>
      </c>
      <c r="Q307" s="3">
        <v>2.1</v>
      </c>
      <c r="R307" s="2" t="s">
        <v>48</v>
      </c>
      <c r="S307" s="2" t="s">
        <v>66</v>
      </c>
      <c r="T307" s="2" t="s">
        <v>30</v>
      </c>
      <c r="U307" s="2">
        <v>3</v>
      </c>
    </row>
    <row r="308" spans="1:21" x14ac:dyDescent="0.25">
      <c r="A308" s="2" t="s">
        <v>649</v>
      </c>
      <c r="B308" s="2" t="s">
        <v>648</v>
      </c>
      <c r="C308" s="2" t="str">
        <f>TEXT(TransactionsTable500[[#This Row],[Order Date]],"mmm")</f>
        <v>Mar</v>
      </c>
      <c r="D308" s="2" t="s">
        <v>105</v>
      </c>
      <c r="E308" s="2" t="s">
        <v>61</v>
      </c>
      <c r="F308" s="2" t="s">
        <v>62</v>
      </c>
      <c r="G308" s="2" t="s">
        <v>85</v>
      </c>
      <c r="H308" s="2" t="s">
        <v>57</v>
      </c>
      <c r="I308" s="2" t="s">
        <v>58</v>
      </c>
      <c r="J308" s="2">
        <v>1</v>
      </c>
      <c r="K308" s="3">
        <v>8.8800000000000008</v>
      </c>
      <c r="L308" s="3">
        <v>8.8800000000000008</v>
      </c>
      <c r="M308" s="4">
        <v>0.05</v>
      </c>
      <c r="N308" s="3">
        <v>0.44</v>
      </c>
      <c r="O308" s="3">
        <v>8.44</v>
      </c>
      <c r="P308" s="3">
        <v>3.34</v>
      </c>
      <c r="Q308" s="3">
        <v>5.0999999999999996</v>
      </c>
      <c r="R308" s="2" t="s">
        <v>48</v>
      </c>
      <c r="S308" s="2" t="s">
        <v>36</v>
      </c>
      <c r="T308" s="2" t="s">
        <v>90</v>
      </c>
      <c r="U308" s="2">
        <v>5</v>
      </c>
    </row>
    <row r="309" spans="1:21" x14ac:dyDescent="0.25">
      <c r="A309" s="2" t="s">
        <v>650</v>
      </c>
      <c r="B309" s="2" t="s">
        <v>651</v>
      </c>
      <c r="C309" s="2" t="str">
        <f>TEXT(TransactionsTable500[[#This Row],[Order Date]],"mmm")</f>
        <v>Mar</v>
      </c>
      <c r="D309" s="2" t="s">
        <v>75</v>
      </c>
      <c r="E309" s="2" t="s">
        <v>70</v>
      </c>
      <c r="F309" s="2" t="s">
        <v>44</v>
      </c>
      <c r="G309" s="2" t="s">
        <v>76</v>
      </c>
      <c r="H309" s="2" t="s">
        <v>77</v>
      </c>
      <c r="I309" s="2" t="s">
        <v>47</v>
      </c>
      <c r="J309" s="2">
        <v>3</v>
      </c>
      <c r="K309" s="3">
        <v>6.33</v>
      </c>
      <c r="L309" s="3">
        <v>18.989999999999998</v>
      </c>
      <c r="M309" s="4">
        <v>0</v>
      </c>
      <c r="N309" s="3">
        <v>0</v>
      </c>
      <c r="O309" s="3">
        <v>18.989999999999998</v>
      </c>
      <c r="P309" s="3">
        <v>6.77</v>
      </c>
      <c r="Q309" s="3">
        <v>12.22</v>
      </c>
      <c r="R309" s="2" t="s">
        <v>48</v>
      </c>
      <c r="S309" s="2" t="s">
        <v>87</v>
      </c>
      <c r="T309" s="2" t="s">
        <v>37</v>
      </c>
      <c r="U309" s="2">
        <v>5</v>
      </c>
    </row>
    <row r="310" spans="1:21" x14ac:dyDescent="0.25">
      <c r="A310" s="2" t="s">
        <v>652</v>
      </c>
      <c r="B310" s="2" t="s">
        <v>653</v>
      </c>
      <c r="C310" s="2" t="str">
        <f>TEXT(TransactionsTable500[[#This Row],[Order Date]],"mmm")</f>
        <v>Mar</v>
      </c>
      <c r="D310" s="2" t="s">
        <v>221</v>
      </c>
      <c r="E310" s="2" t="s">
        <v>61</v>
      </c>
      <c r="F310" s="2" t="s">
        <v>62</v>
      </c>
      <c r="G310" s="2" t="s">
        <v>63</v>
      </c>
      <c r="H310" s="2" t="s">
        <v>231</v>
      </c>
      <c r="I310" s="2" t="s">
        <v>100</v>
      </c>
      <c r="J310" s="2">
        <v>2</v>
      </c>
      <c r="K310" s="3">
        <v>4.83</v>
      </c>
      <c r="L310" s="3">
        <v>9.66</v>
      </c>
      <c r="M310" s="4">
        <v>0.1</v>
      </c>
      <c r="N310" s="3">
        <v>0.97</v>
      </c>
      <c r="O310" s="3">
        <v>8.69</v>
      </c>
      <c r="P310" s="3">
        <v>3.29</v>
      </c>
      <c r="Q310" s="3">
        <v>5.4</v>
      </c>
      <c r="R310" s="2" t="s">
        <v>48</v>
      </c>
      <c r="S310" s="2" t="s">
        <v>66</v>
      </c>
      <c r="T310" s="2" t="s">
        <v>37</v>
      </c>
      <c r="U310" s="2">
        <v>3</v>
      </c>
    </row>
    <row r="311" spans="1:21" x14ac:dyDescent="0.25">
      <c r="A311" s="2" t="s">
        <v>654</v>
      </c>
      <c r="B311" s="2" t="s">
        <v>655</v>
      </c>
      <c r="C311" s="2" t="str">
        <f>TEXT(TransactionsTable500[[#This Row],[Order Date]],"mmm")</f>
        <v>Mar</v>
      </c>
      <c r="D311" s="2" t="s">
        <v>127</v>
      </c>
      <c r="E311" s="2" t="s">
        <v>23</v>
      </c>
      <c r="F311" s="2" t="s">
        <v>24</v>
      </c>
      <c r="G311" s="2" t="s">
        <v>25</v>
      </c>
      <c r="H311" s="2" t="s">
        <v>122</v>
      </c>
      <c r="I311" s="2" t="s">
        <v>47</v>
      </c>
      <c r="J311" s="2">
        <v>2</v>
      </c>
      <c r="K311" s="3">
        <v>6.82</v>
      </c>
      <c r="L311" s="3">
        <v>13.64</v>
      </c>
      <c r="M311" s="4">
        <v>0.05</v>
      </c>
      <c r="N311" s="3">
        <v>0.68</v>
      </c>
      <c r="O311" s="3">
        <v>12.96</v>
      </c>
      <c r="P311" s="3">
        <v>4.8899999999999997</v>
      </c>
      <c r="Q311" s="3">
        <v>8.07</v>
      </c>
      <c r="R311" s="2" t="s">
        <v>28</v>
      </c>
      <c r="S311" s="2" t="s">
        <v>66</v>
      </c>
      <c r="T311" s="2" t="s">
        <v>37</v>
      </c>
      <c r="U311" s="2">
        <v>5</v>
      </c>
    </row>
    <row r="312" spans="1:21" x14ac:dyDescent="0.25">
      <c r="A312" s="2" t="s">
        <v>656</v>
      </c>
      <c r="B312" s="2" t="s">
        <v>657</v>
      </c>
      <c r="C312" s="2" t="str">
        <f>TEXT(TransactionsTable500[[#This Row],[Order Date]],"mmm")</f>
        <v>Mar</v>
      </c>
      <c r="D312" s="2" t="s">
        <v>95</v>
      </c>
      <c r="E312" s="2" t="s">
        <v>23</v>
      </c>
      <c r="F312" s="2" t="s">
        <v>24</v>
      </c>
      <c r="G312" s="2" t="s">
        <v>52</v>
      </c>
      <c r="H312" s="2" t="s">
        <v>112</v>
      </c>
      <c r="I312" s="2" t="s">
        <v>100</v>
      </c>
      <c r="J312" s="2">
        <v>4</v>
      </c>
      <c r="K312" s="3">
        <v>3.77</v>
      </c>
      <c r="L312" s="3">
        <v>15.08</v>
      </c>
      <c r="M312" s="4">
        <v>0</v>
      </c>
      <c r="N312" s="3">
        <v>0</v>
      </c>
      <c r="O312" s="3">
        <v>15.08</v>
      </c>
      <c r="P312" s="3">
        <v>5.69</v>
      </c>
      <c r="Q312" s="3">
        <v>9.39</v>
      </c>
      <c r="R312" s="2" t="s">
        <v>28</v>
      </c>
      <c r="S312" s="2" t="s">
        <v>29</v>
      </c>
      <c r="T312" s="2" t="s">
        <v>30</v>
      </c>
      <c r="U312" s="2">
        <v>3</v>
      </c>
    </row>
    <row r="313" spans="1:21" x14ac:dyDescent="0.25">
      <c r="A313" s="2" t="s">
        <v>658</v>
      </c>
      <c r="B313" s="2" t="s">
        <v>659</v>
      </c>
      <c r="C313" s="2" t="str">
        <f>TEXT(TransactionsTable500[[#This Row],[Order Date]],"mmm")</f>
        <v>Mar</v>
      </c>
      <c r="D313" s="2" t="s">
        <v>139</v>
      </c>
      <c r="E313" s="2" t="s">
        <v>70</v>
      </c>
      <c r="F313" s="2" t="s">
        <v>44</v>
      </c>
      <c r="G313" s="2" t="s">
        <v>71</v>
      </c>
      <c r="H313" s="2" t="s">
        <v>53</v>
      </c>
      <c r="I313" s="2" t="s">
        <v>27</v>
      </c>
      <c r="J313" s="2">
        <v>1</v>
      </c>
      <c r="K313" s="3">
        <v>3.85</v>
      </c>
      <c r="L313" s="3">
        <v>3.85</v>
      </c>
      <c r="M313" s="4">
        <v>0.05</v>
      </c>
      <c r="N313" s="3">
        <v>0.19</v>
      </c>
      <c r="O313" s="3">
        <v>3.66</v>
      </c>
      <c r="P313" s="3">
        <v>1.36</v>
      </c>
      <c r="Q313" s="3">
        <v>2.2999999999999998</v>
      </c>
      <c r="R313" s="2" t="s">
        <v>28</v>
      </c>
      <c r="S313" s="2" t="s">
        <v>36</v>
      </c>
      <c r="T313" s="2" t="s">
        <v>30</v>
      </c>
      <c r="U313" s="2">
        <v>5</v>
      </c>
    </row>
    <row r="314" spans="1:21" x14ac:dyDescent="0.25">
      <c r="A314" s="2" t="s">
        <v>660</v>
      </c>
      <c r="B314" s="2" t="s">
        <v>661</v>
      </c>
      <c r="C314" s="2" t="str">
        <f>TEXT(TransactionsTable500[[#This Row],[Order Date]],"mmm")</f>
        <v>Mar</v>
      </c>
      <c r="D314" s="2" t="s">
        <v>51</v>
      </c>
      <c r="E314" s="2" t="s">
        <v>23</v>
      </c>
      <c r="F314" s="2" t="s">
        <v>24</v>
      </c>
      <c r="G314" s="2" t="s">
        <v>52</v>
      </c>
      <c r="H314" s="2" t="s">
        <v>103</v>
      </c>
      <c r="I314" s="2" t="s">
        <v>27</v>
      </c>
      <c r="J314" s="2">
        <v>1</v>
      </c>
      <c r="K314" s="3">
        <v>4.83</v>
      </c>
      <c r="L314" s="3">
        <v>4.83</v>
      </c>
      <c r="M314" s="4">
        <v>0.15</v>
      </c>
      <c r="N314" s="3">
        <v>0.72</v>
      </c>
      <c r="O314" s="3">
        <v>4.1100000000000003</v>
      </c>
      <c r="P314" s="3">
        <v>1.59</v>
      </c>
      <c r="Q314" s="3">
        <v>2.52</v>
      </c>
      <c r="R314" s="2" t="s">
        <v>28</v>
      </c>
      <c r="S314" s="2" t="s">
        <v>29</v>
      </c>
      <c r="T314" s="2" t="s">
        <v>90</v>
      </c>
      <c r="U314" s="2">
        <v>4</v>
      </c>
    </row>
    <row r="315" spans="1:21" x14ac:dyDescent="0.25">
      <c r="A315" s="2" t="s">
        <v>662</v>
      </c>
      <c r="B315" s="2" t="s">
        <v>663</v>
      </c>
      <c r="C315" s="2" t="str">
        <f>TEXT(TransactionsTable500[[#This Row],[Order Date]],"mmm")</f>
        <v>Mar</v>
      </c>
      <c r="D315" s="2" t="s">
        <v>60</v>
      </c>
      <c r="E315" s="2" t="s">
        <v>61</v>
      </c>
      <c r="F315" s="2" t="s">
        <v>62</v>
      </c>
      <c r="G315" s="2" t="s">
        <v>63</v>
      </c>
      <c r="H315" s="2" t="s">
        <v>106</v>
      </c>
      <c r="I315" s="2" t="s">
        <v>100</v>
      </c>
      <c r="J315" s="2">
        <v>1</v>
      </c>
      <c r="K315" s="3">
        <v>3.51</v>
      </c>
      <c r="L315" s="3">
        <v>3.51</v>
      </c>
      <c r="M315" s="4">
        <v>0.05</v>
      </c>
      <c r="N315" s="3">
        <v>0.18</v>
      </c>
      <c r="O315" s="3">
        <v>3.33</v>
      </c>
      <c r="P315" s="3">
        <v>1.2</v>
      </c>
      <c r="Q315" s="3">
        <v>2.13</v>
      </c>
      <c r="R315" s="2" t="s">
        <v>48</v>
      </c>
      <c r="S315" s="2" t="s">
        <v>36</v>
      </c>
      <c r="T315" s="2" t="s">
        <v>30</v>
      </c>
      <c r="U315" s="2">
        <v>5</v>
      </c>
    </row>
    <row r="316" spans="1:21" x14ac:dyDescent="0.25">
      <c r="A316" s="2" t="s">
        <v>664</v>
      </c>
      <c r="B316" s="2" t="s">
        <v>665</v>
      </c>
      <c r="C316" s="2" t="str">
        <f>TEXT(TransactionsTable500[[#This Row],[Order Date]],"mmm")</f>
        <v>Mar</v>
      </c>
      <c r="D316" s="2" t="s">
        <v>60</v>
      </c>
      <c r="E316" s="2" t="s">
        <v>61</v>
      </c>
      <c r="F316" s="2" t="s">
        <v>62</v>
      </c>
      <c r="G316" s="2" t="s">
        <v>63</v>
      </c>
      <c r="H316" s="2" t="s">
        <v>103</v>
      </c>
      <c r="I316" s="2" t="s">
        <v>27</v>
      </c>
      <c r="J316" s="2">
        <v>3</v>
      </c>
      <c r="K316" s="3">
        <v>4.6900000000000004</v>
      </c>
      <c r="L316" s="3">
        <v>14.07</v>
      </c>
      <c r="M316" s="4">
        <v>0</v>
      </c>
      <c r="N316" s="3">
        <v>0</v>
      </c>
      <c r="O316" s="3">
        <v>14.07</v>
      </c>
      <c r="P316" s="3">
        <v>5.43</v>
      </c>
      <c r="Q316" s="3">
        <v>8.64</v>
      </c>
      <c r="R316" s="2" t="s">
        <v>48</v>
      </c>
      <c r="S316" s="2" t="s">
        <v>29</v>
      </c>
      <c r="T316" s="2" t="s">
        <v>37</v>
      </c>
      <c r="U316" s="2">
        <v>5</v>
      </c>
    </row>
    <row r="317" spans="1:21" x14ac:dyDescent="0.25">
      <c r="A317" s="2" t="s">
        <v>666</v>
      </c>
      <c r="B317" s="2" t="s">
        <v>665</v>
      </c>
      <c r="C317" s="2" t="str">
        <f>TEXT(TransactionsTable500[[#This Row],[Order Date]],"mmm")</f>
        <v>Mar</v>
      </c>
      <c r="D317" s="2" t="s">
        <v>212</v>
      </c>
      <c r="E317" s="2" t="s">
        <v>184</v>
      </c>
      <c r="F317" s="2" t="s">
        <v>62</v>
      </c>
      <c r="G317" s="2" t="s">
        <v>213</v>
      </c>
      <c r="H317" s="2" t="s">
        <v>112</v>
      </c>
      <c r="I317" s="2" t="s">
        <v>100</v>
      </c>
      <c r="J317" s="2">
        <v>2</v>
      </c>
      <c r="K317" s="3">
        <v>3.88</v>
      </c>
      <c r="L317" s="3">
        <v>7.76</v>
      </c>
      <c r="M317" s="4">
        <v>0</v>
      </c>
      <c r="N317" s="3">
        <v>0</v>
      </c>
      <c r="O317" s="3">
        <v>7.76</v>
      </c>
      <c r="P317" s="3">
        <v>3.22</v>
      </c>
      <c r="Q317" s="3">
        <v>4.54</v>
      </c>
      <c r="R317" s="2" t="s">
        <v>48</v>
      </c>
      <c r="S317" s="2" t="s">
        <v>36</v>
      </c>
      <c r="T317" s="2" t="s">
        <v>30</v>
      </c>
      <c r="U317" s="2">
        <v>4</v>
      </c>
    </row>
    <row r="318" spans="1:21" x14ac:dyDescent="0.25">
      <c r="A318" s="2" t="s">
        <v>667</v>
      </c>
      <c r="B318" s="2" t="s">
        <v>668</v>
      </c>
      <c r="C318" s="2" t="str">
        <f>TEXT(TransactionsTable500[[#This Row],[Order Date]],"mmm")</f>
        <v>Mar</v>
      </c>
      <c r="D318" s="2" t="s">
        <v>51</v>
      </c>
      <c r="E318" s="2" t="s">
        <v>23</v>
      </c>
      <c r="F318" s="2" t="s">
        <v>24</v>
      </c>
      <c r="G318" s="2" t="s">
        <v>52</v>
      </c>
      <c r="H318" s="2" t="s">
        <v>26</v>
      </c>
      <c r="I318" s="2" t="s">
        <v>27</v>
      </c>
      <c r="J318" s="2">
        <v>4</v>
      </c>
      <c r="K318" s="3">
        <v>5.38</v>
      </c>
      <c r="L318" s="3">
        <v>21.52</v>
      </c>
      <c r="M318" s="4">
        <v>0</v>
      </c>
      <c r="N318" s="3">
        <v>0</v>
      </c>
      <c r="O318" s="3">
        <v>21.52</v>
      </c>
      <c r="P318" s="3">
        <v>8.19</v>
      </c>
      <c r="Q318" s="3">
        <v>13.33</v>
      </c>
      <c r="R318" s="2" t="s">
        <v>48</v>
      </c>
      <c r="S318" s="2" t="s">
        <v>87</v>
      </c>
      <c r="T318" s="2" t="s">
        <v>30</v>
      </c>
      <c r="U318" s="2">
        <v>4</v>
      </c>
    </row>
    <row r="319" spans="1:21" x14ac:dyDescent="0.25">
      <c r="A319" s="2" t="s">
        <v>669</v>
      </c>
      <c r="B319" s="2" t="s">
        <v>670</v>
      </c>
      <c r="C319" s="2" t="str">
        <f>TEXT(TransactionsTable500[[#This Row],[Order Date]],"mmm")</f>
        <v>Mar</v>
      </c>
      <c r="D319" s="2" t="s">
        <v>69</v>
      </c>
      <c r="E319" s="2" t="s">
        <v>70</v>
      </c>
      <c r="F319" s="2" t="s">
        <v>44</v>
      </c>
      <c r="G319" s="2" t="s">
        <v>71</v>
      </c>
      <c r="H319" s="2" t="s">
        <v>228</v>
      </c>
      <c r="I319" s="2" t="s">
        <v>65</v>
      </c>
      <c r="J319" s="2">
        <v>3</v>
      </c>
      <c r="K319" s="3">
        <v>3.29</v>
      </c>
      <c r="L319" s="3">
        <v>9.8699999999999992</v>
      </c>
      <c r="M319" s="4">
        <v>0</v>
      </c>
      <c r="N319" s="3">
        <v>0</v>
      </c>
      <c r="O319" s="3">
        <v>9.8699999999999992</v>
      </c>
      <c r="P319" s="3">
        <v>3.41</v>
      </c>
      <c r="Q319" s="3">
        <v>6.46</v>
      </c>
      <c r="R319" s="2" t="s">
        <v>28</v>
      </c>
      <c r="S319" s="2" t="s">
        <v>66</v>
      </c>
      <c r="T319" s="2" t="s">
        <v>30</v>
      </c>
      <c r="U319" s="2">
        <v>5</v>
      </c>
    </row>
    <row r="320" spans="1:21" x14ac:dyDescent="0.25">
      <c r="A320" s="2" t="s">
        <v>671</v>
      </c>
      <c r="B320" s="2" t="s">
        <v>672</v>
      </c>
      <c r="C320" s="2" t="str">
        <f>TEXT(TransactionsTable500[[#This Row],[Order Date]],"mmm")</f>
        <v>Apr</v>
      </c>
      <c r="D320" s="2" t="s">
        <v>127</v>
      </c>
      <c r="E320" s="2" t="s">
        <v>23</v>
      </c>
      <c r="F320" s="2" t="s">
        <v>24</v>
      </c>
      <c r="G320" s="2" t="s">
        <v>25</v>
      </c>
      <c r="H320" s="2" t="s">
        <v>228</v>
      </c>
      <c r="I320" s="2" t="s">
        <v>65</v>
      </c>
      <c r="J320" s="2">
        <v>2</v>
      </c>
      <c r="K320" s="3">
        <v>3.27</v>
      </c>
      <c r="L320" s="3">
        <v>6.54</v>
      </c>
      <c r="M320" s="4">
        <v>0</v>
      </c>
      <c r="N320" s="3">
        <v>0</v>
      </c>
      <c r="O320" s="3">
        <v>6.54</v>
      </c>
      <c r="P320" s="3">
        <v>2.74</v>
      </c>
      <c r="Q320" s="3">
        <v>3.8</v>
      </c>
      <c r="R320" s="2" t="s">
        <v>48</v>
      </c>
      <c r="S320" s="2" t="s">
        <v>66</v>
      </c>
      <c r="T320" s="2" t="s">
        <v>90</v>
      </c>
      <c r="U320" s="2">
        <v>5</v>
      </c>
    </row>
    <row r="321" spans="1:21" x14ac:dyDescent="0.25">
      <c r="A321" s="2" t="s">
        <v>673</v>
      </c>
      <c r="B321" s="2" t="s">
        <v>674</v>
      </c>
      <c r="C321" s="2" t="str">
        <f>TEXT(TransactionsTable500[[#This Row],[Order Date]],"mmm")</f>
        <v>Apr</v>
      </c>
      <c r="D321" s="2" t="s">
        <v>95</v>
      </c>
      <c r="E321" s="2" t="s">
        <v>23</v>
      </c>
      <c r="F321" s="2" t="s">
        <v>24</v>
      </c>
      <c r="G321" s="2" t="s">
        <v>52</v>
      </c>
      <c r="H321" s="2" t="s">
        <v>157</v>
      </c>
      <c r="I321" s="2" t="s">
        <v>47</v>
      </c>
      <c r="J321" s="2">
        <v>1</v>
      </c>
      <c r="K321" s="3">
        <v>7.86</v>
      </c>
      <c r="L321" s="3">
        <v>7.86</v>
      </c>
      <c r="M321" s="4">
        <v>0.1</v>
      </c>
      <c r="N321" s="3">
        <v>0.79</v>
      </c>
      <c r="O321" s="3">
        <v>7.07</v>
      </c>
      <c r="P321" s="3">
        <v>2.81</v>
      </c>
      <c r="Q321" s="3">
        <v>4.26</v>
      </c>
      <c r="R321" s="2" t="s">
        <v>28</v>
      </c>
      <c r="S321" s="2" t="s">
        <v>29</v>
      </c>
      <c r="T321" s="2" t="s">
        <v>90</v>
      </c>
      <c r="U321" s="2">
        <v>5</v>
      </c>
    </row>
    <row r="322" spans="1:21" x14ac:dyDescent="0.25">
      <c r="A322" s="2" t="s">
        <v>675</v>
      </c>
      <c r="B322" s="2" t="s">
        <v>674</v>
      </c>
      <c r="C322" s="2" t="str">
        <f>TEXT(TransactionsTable500[[#This Row],[Order Date]],"mmm")</f>
        <v>Apr</v>
      </c>
      <c r="D322" s="2" t="s">
        <v>270</v>
      </c>
      <c r="E322" s="2" t="s">
        <v>70</v>
      </c>
      <c r="F322" s="2" t="s">
        <v>44</v>
      </c>
      <c r="G322" s="2" t="s">
        <v>200</v>
      </c>
      <c r="H322" s="2" t="s">
        <v>64</v>
      </c>
      <c r="I322" s="2" t="s">
        <v>65</v>
      </c>
      <c r="J322" s="2">
        <v>3</v>
      </c>
      <c r="K322" s="3">
        <v>2.38</v>
      </c>
      <c r="L322" s="3">
        <v>7.14</v>
      </c>
      <c r="M322" s="4">
        <v>0</v>
      </c>
      <c r="N322" s="3">
        <v>0</v>
      </c>
      <c r="O322" s="3">
        <v>7.14</v>
      </c>
      <c r="P322" s="3">
        <v>2.4900000000000002</v>
      </c>
      <c r="Q322" s="3">
        <v>4.6500000000000004</v>
      </c>
      <c r="R322" s="2" t="s">
        <v>28</v>
      </c>
      <c r="S322" s="2" t="s">
        <v>29</v>
      </c>
      <c r="T322" s="2" t="s">
        <v>30</v>
      </c>
      <c r="U322" s="2">
        <v>5</v>
      </c>
    </row>
    <row r="323" spans="1:21" x14ac:dyDescent="0.25">
      <c r="A323" s="2" t="s">
        <v>676</v>
      </c>
      <c r="B323" s="2" t="s">
        <v>674</v>
      </c>
      <c r="C323" s="2" t="str">
        <f>TEXT(TransactionsTable500[[#This Row],[Order Date]],"mmm")</f>
        <v>Apr</v>
      </c>
      <c r="D323" s="2" t="s">
        <v>69</v>
      </c>
      <c r="E323" s="2" t="s">
        <v>70</v>
      </c>
      <c r="F323" s="2" t="s">
        <v>44</v>
      </c>
      <c r="G323" s="2" t="s">
        <v>71</v>
      </c>
      <c r="H323" s="2" t="s">
        <v>112</v>
      </c>
      <c r="I323" s="2" t="s">
        <v>100</v>
      </c>
      <c r="J323" s="2">
        <v>2</v>
      </c>
      <c r="K323" s="3">
        <v>3.9</v>
      </c>
      <c r="L323" s="3">
        <v>7.8</v>
      </c>
      <c r="M323" s="4">
        <v>0.05</v>
      </c>
      <c r="N323" s="3">
        <v>0.39</v>
      </c>
      <c r="O323" s="3">
        <v>7.41</v>
      </c>
      <c r="P323" s="3">
        <v>2.84</v>
      </c>
      <c r="Q323" s="3">
        <v>4.57</v>
      </c>
      <c r="R323" s="2" t="s">
        <v>28</v>
      </c>
      <c r="S323" s="2" t="s">
        <v>66</v>
      </c>
      <c r="T323" s="2" t="s">
        <v>30</v>
      </c>
      <c r="U323" s="2">
        <v>3</v>
      </c>
    </row>
    <row r="324" spans="1:21" x14ac:dyDescent="0.25">
      <c r="A324" s="2" t="s">
        <v>677</v>
      </c>
      <c r="B324" s="2" t="s">
        <v>678</v>
      </c>
      <c r="C324" s="2" t="str">
        <f>TEXT(TransactionsTable500[[#This Row],[Order Date]],"mmm")</f>
        <v>Apr</v>
      </c>
      <c r="D324" s="2" t="s">
        <v>133</v>
      </c>
      <c r="E324" s="2" t="s">
        <v>119</v>
      </c>
      <c r="F324" s="2" t="s">
        <v>24</v>
      </c>
      <c r="G324" s="2" t="s">
        <v>134</v>
      </c>
      <c r="H324" s="2" t="s">
        <v>64</v>
      </c>
      <c r="I324" s="2" t="s">
        <v>65</v>
      </c>
      <c r="J324" s="2">
        <v>1</v>
      </c>
      <c r="K324" s="3">
        <v>2.42</v>
      </c>
      <c r="L324" s="3">
        <v>2.42</v>
      </c>
      <c r="M324" s="4">
        <v>0.1</v>
      </c>
      <c r="N324" s="3">
        <v>0.24</v>
      </c>
      <c r="O324" s="3">
        <v>2.1800000000000002</v>
      </c>
      <c r="P324" s="3">
        <v>0.85</v>
      </c>
      <c r="Q324" s="3">
        <v>1.33</v>
      </c>
      <c r="R324" s="2" t="s">
        <v>96</v>
      </c>
      <c r="S324" s="2" t="s">
        <v>29</v>
      </c>
      <c r="T324" s="2" t="s">
        <v>30</v>
      </c>
      <c r="U324" s="2">
        <v>3</v>
      </c>
    </row>
    <row r="325" spans="1:21" x14ac:dyDescent="0.25">
      <c r="A325" s="2" t="s">
        <v>679</v>
      </c>
      <c r="B325" s="2" t="s">
        <v>680</v>
      </c>
      <c r="C325" s="2" t="str">
        <f>TEXT(TransactionsTable500[[#This Row],[Order Date]],"mmm")</f>
        <v>Apr</v>
      </c>
      <c r="D325" s="2" t="s">
        <v>199</v>
      </c>
      <c r="E325" s="2" t="s">
        <v>70</v>
      </c>
      <c r="F325" s="2" t="s">
        <v>44</v>
      </c>
      <c r="G325" s="2" t="s">
        <v>200</v>
      </c>
      <c r="H325" s="2" t="s">
        <v>72</v>
      </c>
      <c r="I325" s="2" t="s">
        <v>58</v>
      </c>
      <c r="J325" s="2">
        <v>2</v>
      </c>
      <c r="K325" s="3">
        <v>15.19</v>
      </c>
      <c r="L325" s="3">
        <v>30.38</v>
      </c>
      <c r="M325" s="4">
        <v>0</v>
      </c>
      <c r="N325" s="3">
        <v>0</v>
      </c>
      <c r="O325" s="3">
        <v>30.38</v>
      </c>
      <c r="P325" s="3">
        <v>11.39</v>
      </c>
      <c r="Q325" s="3">
        <v>18.989999999999998</v>
      </c>
      <c r="R325" s="2" t="s">
        <v>48</v>
      </c>
      <c r="S325" s="2" t="s">
        <v>36</v>
      </c>
      <c r="T325" s="2" t="s">
        <v>30</v>
      </c>
      <c r="U325" s="2">
        <v>3</v>
      </c>
    </row>
    <row r="326" spans="1:21" x14ac:dyDescent="0.25">
      <c r="A326" s="2" t="s">
        <v>681</v>
      </c>
      <c r="B326" s="2" t="s">
        <v>680</v>
      </c>
      <c r="C326" s="2" t="str">
        <f>TEXT(TransactionsTable500[[#This Row],[Order Date]],"mmm")</f>
        <v>Apr</v>
      </c>
      <c r="D326" s="2" t="s">
        <v>32</v>
      </c>
      <c r="E326" s="2" t="s">
        <v>33</v>
      </c>
      <c r="F326" s="2" t="s">
        <v>34</v>
      </c>
      <c r="G326" s="2" t="s">
        <v>35</v>
      </c>
      <c r="H326" s="2" t="s">
        <v>157</v>
      </c>
      <c r="I326" s="2" t="s">
        <v>47</v>
      </c>
      <c r="J326" s="2">
        <v>5</v>
      </c>
      <c r="K326" s="3">
        <v>8.08</v>
      </c>
      <c r="L326" s="3">
        <v>40.4</v>
      </c>
      <c r="M326" s="4">
        <v>0.1</v>
      </c>
      <c r="N326" s="3">
        <v>4.04</v>
      </c>
      <c r="O326" s="3">
        <v>36.36</v>
      </c>
      <c r="P326" s="3">
        <v>11.8</v>
      </c>
      <c r="Q326" s="3">
        <v>24.56</v>
      </c>
      <c r="R326" s="2" t="s">
        <v>28</v>
      </c>
      <c r="S326" s="2" t="s">
        <v>87</v>
      </c>
      <c r="T326" s="2" t="s">
        <v>30</v>
      </c>
      <c r="U326" s="2">
        <v>4</v>
      </c>
    </row>
    <row r="327" spans="1:21" x14ac:dyDescent="0.25">
      <c r="A327" s="2" t="s">
        <v>682</v>
      </c>
      <c r="B327" s="2" t="s">
        <v>683</v>
      </c>
      <c r="C327" s="2" t="str">
        <f>TEXT(TransactionsTable500[[#This Row],[Order Date]],"mmm")</f>
        <v>Apr</v>
      </c>
      <c r="D327" s="2" t="s">
        <v>177</v>
      </c>
      <c r="E327" s="2" t="s">
        <v>43</v>
      </c>
      <c r="F327" s="2" t="s">
        <v>44</v>
      </c>
      <c r="G327" s="2" t="s">
        <v>45</v>
      </c>
      <c r="H327" s="2" t="s">
        <v>122</v>
      </c>
      <c r="I327" s="2" t="s">
        <v>47</v>
      </c>
      <c r="J327" s="2">
        <v>3</v>
      </c>
      <c r="K327" s="3">
        <v>6.67</v>
      </c>
      <c r="L327" s="3">
        <v>20.010000000000002</v>
      </c>
      <c r="M327" s="4">
        <v>0</v>
      </c>
      <c r="N327" s="3">
        <v>0</v>
      </c>
      <c r="O327" s="3">
        <v>20.010000000000002</v>
      </c>
      <c r="P327" s="3">
        <v>7.86</v>
      </c>
      <c r="Q327" s="3">
        <v>12.15</v>
      </c>
      <c r="R327" s="2" t="s">
        <v>96</v>
      </c>
      <c r="S327" s="2" t="s">
        <v>29</v>
      </c>
      <c r="T327" s="2" t="s">
        <v>37</v>
      </c>
      <c r="U327" s="2">
        <v>4</v>
      </c>
    </row>
    <row r="328" spans="1:21" x14ac:dyDescent="0.25">
      <c r="A328" s="2" t="s">
        <v>684</v>
      </c>
      <c r="B328" s="2" t="s">
        <v>683</v>
      </c>
      <c r="C328" s="2" t="str">
        <f>TEXT(TransactionsTable500[[#This Row],[Order Date]],"mmm")</f>
        <v>Apr</v>
      </c>
      <c r="D328" s="2" t="s">
        <v>118</v>
      </c>
      <c r="E328" s="2" t="s">
        <v>119</v>
      </c>
      <c r="F328" s="2" t="s">
        <v>24</v>
      </c>
      <c r="G328" s="2" t="s">
        <v>120</v>
      </c>
      <c r="H328" s="2" t="s">
        <v>112</v>
      </c>
      <c r="I328" s="2" t="s">
        <v>100</v>
      </c>
      <c r="J328" s="2">
        <v>4</v>
      </c>
      <c r="K328" s="3">
        <v>3.93</v>
      </c>
      <c r="L328" s="3">
        <v>15.72</v>
      </c>
      <c r="M328" s="4">
        <v>0</v>
      </c>
      <c r="N328" s="3">
        <v>0</v>
      </c>
      <c r="O328" s="3">
        <v>15.72</v>
      </c>
      <c r="P328" s="3">
        <v>6.06</v>
      </c>
      <c r="Q328" s="3">
        <v>9.66</v>
      </c>
      <c r="R328" s="2" t="s">
        <v>48</v>
      </c>
      <c r="S328" s="2" t="s">
        <v>29</v>
      </c>
      <c r="T328" s="2" t="s">
        <v>30</v>
      </c>
      <c r="U328" s="2">
        <v>4</v>
      </c>
    </row>
    <row r="329" spans="1:21" x14ac:dyDescent="0.25">
      <c r="A329" s="2" t="s">
        <v>685</v>
      </c>
      <c r="B329" s="2" t="s">
        <v>683</v>
      </c>
      <c r="C329" s="2" t="str">
        <f>TEXT(TransactionsTable500[[#This Row],[Order Date]],"mmm")</f>
        <v>Apr</v>
      </c>
      <c r="D329" s="2" t="s">
        <v>105</v>
      </c>
      <c r="E329" s="2" t="s">
        <v>61</v>
      </c>
      <c r="F329" s="2" t="s">
        <v>62</v>
      </c>
      <c r="G329" s="2" t="s">
        <v>85</v>
      </c>
      <c r="H329" s="2" t="s">
        <v>106</v>
      </c>
      <c r="I329" s="2" t="s">
        <v>100</v>
      </c>
      <c r="J329" s="2">
        <v>1</v>
      </c>
      <c r="K329" s="3">
        <v>3.56</v>
      </c>
      <c r="L329" s="3">
        <v>3.56</v>
      </c>
      <c r="M329" s="4">
        <v>0</v>
      </c>
      <c r="N329" s="3">
        <v>0</v>
      </c>
      <c r="O329" s="3">
        <v>3.56</v>
      </c>
      <c r="P329" s="3">
        <v>1.36</v>
      </c>
      <c r="Q329" s="3">
        <v>2.2000000000000002</v>
      </c>
      <c r="R329" s="2" t="s">
        <v>48</v>
      </c>
      <c r="S329" s="2" t="s">
        <v>29</v>
      </c>
      <c r="T329" s="2" t="s">
        <v>37</v>
      </c>
      <c r="U329" s="2">
        <v>4</v>
      </c>
    </row>
    <row r="330" spans="1:21" x14ac:dyDescent="0.25">
      <c r="A330" s="2" t="s">
        <v>686</v>
      </c>
      <c r="B330" s="2" t="s">
        <v>687</v>
      </c>
      <c r="C330" s="2" t="str">
        <f>TEXT(TransactionsTable500[[#This Row],[Order Date]],"mmm")</f>
        <v>Apr</v>
      </c>
      <c r="D330" s="2" t="s">
        <v>165</v>
      </c>
      <c r="E330" s="2" t="s">
        <v>61</v>
      </c>
      <c r="F330" s="2" t="s">
        <v>62</v>
      </c>
      <c r="G330" s="2" t="s">
        <v>130</v>
      </c>
      <c r="H330" s="2" t="s">
        <v>99</v>
      </c>
      <c r="I330" s="2" t="s">
        <v>100</v>
      </c>
      <c r="J330" s="2">
        <v>2</v>
      </c>
      <c r="K330" s="3">
        <v>4.4000000000000004</v>
      </c>
      <c r="L330" s="3">
        <v>8.8000000000000007</v>
      </c>
      <c r="M330" s="4">
        <v>0.1</v>
      </c>
      <c r="N330" s="3">
        <v>0.88</v>
      </c>
      <c r="O330" s="3">
        <v>7.92</v>
      </c>
      <c r="P330" s="3">
        <v>2.79</v>
      </c>
      <c r="Q330" s="3">
        <v>5.13</v>
      </c>
      <c r="R330" s="2" t="s">
        <v>48</v>
      </c>
      <c r="S330" s="2" t="s">
        <v>87</v>
      </c>
      <c r="T330" s="2" t="s">
        <v>90</v>
      </c>
      <c r="U330" s="2">
        <v>4</v>
      </c>
    </row>
    <row r="331" spans="1:21" x14ac:dyDescent="0.25">
      <c r="A331" s="2" t="s">
        <v>688</v>
      </c>
      <c r="B331" s="2" t="s">
        <v>689</v>
      </c>
      <c r="C331" s="2" t="str">
        <f>TEXT(TransactionsTable500[[#This Row],[Order Date]],"mmm")</f>
        <v>Apr</v>
      </c>
      <c r="D331" s="2" t="s">
        <v>127</v>
      </c>
      <c r="E331" s="2" t="s">
        <v>23</v>
      </c>
      <c r="F331" s="2" t="s">
        <v>24</v>
      </c>
      <c r="G331" s="2" t="s">
        <v>25</v>
      </c>
      <c r="H331" s="2" t="s">
        <v>46</v>
      </c>
      <c r="I331" s="2" t="s">
        <v>47</v>
      </c>
      <c r="J331" s="2">
        <v>1</v>
      </c>
      <c r="K331" s="3">
        <v>7.86</v>
      </c>
      <c r="L331" s="3">
        <v>7.86</v>
      </c>
      <c r="M331" s="4">
        <v>0</v>
      </c>
      <c r="N331" s="3">
        <v>0</v>
      </c>
      <c r="O331" s="3">
        <v>7.86</v>
      </c>
      <c r="P331" s="3">
        <v>2.76</v>
      </c>
      <c r="Q331" s="3">
        <v>5.0999999999999996</v>
      </c>
      <c r="R331" s="2" t="s">
        <v>28</v>
      </c>
      <c r="S331" s="2" t="s">
        <v>66</v>
      </c>
      <c r="T331" s="2" t="s">
        <v>30</v>
      </c>
      <c r="U331" s="2">
        <v>4</v>
      </c>
    </row>
    <row r="332" spans="1:21" x14ac:dyDescent="0.25">
      <c r="A332" s="2" t="s">
        <v>690</v>
      </c>
      <c r="B332" s="2" t="s">
        <v>689</v>
      </c>
      <c r="C332" s="2" t="str">
        <f>TEXT(TransactionsTable500[[#This Row],[Order Date]],"mmm")</f>
        <v>Apr</v>
      </c>
      <c r="D332" s="2" t="s">
        <v>115</v>
      </c>
      <c r="E332" s="2" t="s">
        <v>70</v>
      </c>
      <c r="F332" s="2" t="s">
        <v>44</v>
      </c>
      <c r="G332" s="2" t="s">
        <v>76</v>
      </c>
      <c r="H332" s="2" t="s">
        <v>26</v>
      </c>
      <c r="I332" s="2" t="s">
        <v>27</v>
      </c>
      <c r="J332" s="2">
        <v>2</v>
      </c>
      <c r="K332" s="3">
        <v>5.33</v>
      </c>
      <c r="L332" s="3">
        <v>10.66</v>
      </c>
      <c r="M332" s="4">
        <v>0</v>
      </c>
      <c r="N332" s="3">
        <v>0</v>
      </c>
      <c r="O332" s="3">
        <v>10.66</v>
      </c>
      <c r="P332" s="3">
        <v>4.38</v>
      </c>
      <c r="Q332" s="3">
        <v>6.28</v>
      </c>
      <c r="R332" s="2" t="s">
        <v>48</v>
      </c>
      <c r="S332" s="2" t="s">
        <v>29</v>
      </c>
      <c r="T332" s="2" t="s">
        <v>30</v>
      </c>
      <c r="U332" s="2">
        <v>5</v>
      </c>
    </row>
    <row r="333" spans="1:21" x14ac:dyDescent="0.25">
      <c r="A333" s="2" t="s">
        <v>691</v>
      </c>
      <c r="B333" s="2" t="s">
        <v>692</v>
      </c>
      <c r="C333" s="2" t="str">
        <f>TEXT(TransactionsTable500[[#This Row],[Order Date]],"mmm")</f>
        <v>Apr</v>
      </c>
      <c r="D333" s="2" t="s">
        <v>216</v>
      </c>
      <c r="E333" s="2" t="s">
        <v>61</v>
      </c>
      <c r="F333" s="2" t="s">
        <v>62</v>
      </c>
      <c r="G333" s="2" t="s">
        <v>217</v>
      </c>
      <c r="H333" s="2" t="s">
        <v>203</v>
      </c>
      <c r="I333" s="2" t="s">
        <v>100</v>
      </c>
      <c r="J333" s="2">
        <v>2</v>
      </c>
      <c r="K333" s="3">
        <v>4.37</v>
      </c>
      <c r="L333" s="3">
        <v>8.74</v>
      </c>
      <c r="M333" s="4">
        <v>0</v>
      </c>
      <c r="N333" s="3">
        <v>0</v>
      </c>
      <c r="O333" s="3">
        <v>8.74</v>
      </c>
      <c r="P333" s="3">
        <v>3.51</v>
      </c>
      <c r="Q333" s="3">
        <v>5.23</v>
      </c>
      <c r="R333" s="2" t="s">
        <v>28</v>
      </c>
      <c r="S333" s="2" t="s">
        <v>66</v>
      </c>
      <c r="T333" s="2" t="s">
        <v>30</v>
      </c>
      <c r="U333" s="2">
        <v>3</v>
      </c>
    </row>
    <row r="334" spans="1:21" x14ac:dyDescent="0.25">
      <c r="A334" s="2" t="s">
        <v>693</v>
      </c>
      <c r="B334" s="2" t="s">
        <v>692</v>
      </c>
      <c r="C334" s="2" t="str">
        <f>TEXT(TransactionsTable500[[#This Row],[Order Date]],"mmm")</f>
        <v>Apr</v>
      </c>
      <c r="D334" s="2" t="s">
        <v>84</v>
      </c>
      <c r="E334" s="2" t="s">
        <v>61</v>
      </c>
      <c r="F334" s="2" t="s">
        <v>62</v>
      </c>
      <c r="G334" s="2" t="s">
        <v>85</v>
      </c>
      <c r="H334" s="2" t="s">
        <v>57</v>
      </c>
      <c r="I334" s="2" t="s">
        <v>58</v>
      </c>
      <c r="J334" s="2">
        <v>1</v>
      </c>
      <c r="K334" s="3">
        <v>9.27</v>
      </c>
      <c r="L334" s="3">
        <v>9.27</v>
      </c>
      <c r="M334" s="4">
        <v>0</v>
      </c>
      <c r="N334" s="3">
        <v>0</v>
      </c>
      <c r="O334" s="3">
        <v>9.27</v>
      </c>
      <c r="P334" s="3">
        <v>3.42</v>
      </c>
      <c r="Q334" s="3">
        <v>5.85</v>
      </c>
      <c r="R334" s="2" t="s">
        <v>48</v>
      </c>
      <c r="S334" s="2" t="s">
        <v>66</v>
      </c>
      <c r="T334" s="2" t="s">
        <v>90</v>
      </c>
      <c r="U334" s="2">
        <v>5</v>
      </c>
    </row>
    <row r="335" spans="1:21" x14ac:dyDescent="0.25">
      <c r="A335" s="2" t="s">
        <v>694</v>
      </c>
      <c r="B335" s="2" t="s">
        <v>695</v>
      </c>
      <c r="C335" s="2" t="str">
        <f>TEXT(TransactionsTable500[[#This Row],[Order Date]],"mmm")</f>
        <v>Apr</v>
      </c>
      <c r="D335" s="2" t="s">
        <v>55</v>
      </c>
      <c r="E335" s="2" t="s">
        <v>43</v>
      </c>
      <c r="F335" s="2" t="s">
        <v>44</v>
      </c>
      <c r="G335" s="2" t="s">
        <v>56</v>
      </c>
      <c r="H335" s="2" t="s">
        <v>53</v>
      </c>
      <c r="I335" s="2" t="s">
        <v>27</v>
      </c>
      <c r="J335" s="2">
        <v>2</v>
      </c>
      <c r="K335" s="3">
        <v>3.75</v>
      </c>
      <c r="L335" s="3">
        <v>7.5</v>
      </c>
      <c r="M335" s="4">
        <v>0</v>
      </c>
      <c r="N335" s="3">
        <v>0</v>
      </c>
      <c r="O335" s="3">
        <v>7.5</v>
      </c>
      <c r="P335" s="3">
        <v>3.01</v>
      </c>
      <c r="Q335" s="3">
        <v>4.49</v>
      </c>
      <c r="R335" s="2" t="s">
        <v>28</v>
      </c>
      <c r="S335" s="2" t="s">
        <v>66</v>
      </c>
      <c r="T335" s="2" t="s">
        <v>37</v>
      </c>
      <c r="U335" s="2">
        <v>5</v>
      </c>
    </row>
    <row r="336" spans="1:21" x14ac:dyDescent="0.25">
      <c r="A336" s="2" t="s">
        <v>696</v>
      </c>
      <c r="B336" s="2" t="s">
        <v>697</v>
      </c>
      <c r="C336" s="2" t="str">
        <f>TEXT(TransactionsTable500[[#This Row],[Order Date]],"mmm")</f>
        <v>Apr</v>
      </c>
      <c r="D336" s="2" t="s">
        <v>115</v>
      </c>
      <c r="E336" s="2" t="s">
        <v>70</v>
      </c>
      <c r="F336" s="2" t="s">
        <v>44</v>
      </c>
      <c r="G336" s="2" t="s">
        <v>76</v>
      </c>
      <c r="H336" s="2" t="s">
        <v>57</v>
      </c>
      <c r="I336" s="2" t="s">
        <v>58</v>
      </c>
      <c r="J336" s="2">
        <v>4</v>
      </c>
      <c r="K336" s="3">
        <v>8.99</v>
      </c>
      <c r="L336" s="3">
        <v>35.96</v>
      </c>
      <c r="M336" s="4">
        <v>0.15</v>
      </c>
      <c r="N336" s="3">
        <v>5.39</v>
      </c>
      <c r="O336" s="3">
        <v>30.57</v>
      </c>
      <c r="P336" s="3">
        <v>12.49</v>
      </c>
      <c r="Q336" s="3">
        <v>18.079999999999998</v>
      </c>
      <c r="R336" s="2" t="s">
        <v>48</v>
      </c>
      <c r="S336" s="2" t="s">
        <v>29</v>
      </c>
      <c r="T336" s="2" t="s">
        <v>37</v>
      </c>
      <c r="U336" s="2">
        <v>5</v>
      </c>
    </row>
    <row r="337" spans="1:21" x14ac:dyDescent="0.25">
      <c r="A337" s="2" t="s">
        <v>698</v>
      </c>
      <c r="B337" s="2" t="s">
        <v>699</v>
      </c>
      <c r="C337" s="2" t="str">
        <f>TEXT(TransactionsTable500[[#This Row],[Order Date]],"mmm")</f>
        <v>Apr</v>
      </c>
      <c r="D337" s="2" t="s">
        <v>51</v>
      </c>
      <c r="E337" s="2" t="s">
        <v>23</v>
      </c>
      <c r="F337" s="2" t="s">
        <v>24</v>
      </c>
      <c r="G337" s="2" t="s">
        <v>52</v>
      </c>
      <c r="H337" s="2" t="s">
        <v>46</v>
      </c>
      <c r="I337" s="2" t="s">
        <v>47</v>
      </c>
      <c r="J337" s="2">
        <v>2</v>
      </c>
      <c r="K337" s="3">
        <v>8.44</v>
      </c>
      <c r="L337" s="3">
        <v>16.88</v>
      </c>
      <c r="M337" s="4">
        <v>0</v>
      </c>
      <c r="N337" s="3">
        <v>0</v>
      </c>
      <c r="O337" s="3">
        <v>16.88</v>
      </c>
      <c r="P337" s="3">
        <v>6.29</v>
      </c>
      <c r="Q337" s="3">
        <v>10.59</v>
      </c>
      <c r="R337" s="2" t="s">
        <v>28</v>
      </c>
      <c r="S337" s="2" t="s">
        <v>66</v>
      </c>
      <c r="T337" s="2" t="s">
        <v>30</v>
      </c>
      <c r="U337" s="2">
        <v>4</v>
      </c>
    </row>
    <row r="338" spans="1:21" x14ac:dyDescent="0.25">
      <c r="A338" s="2" t="s">
        <v>700</v>
      </c>
      <c r="B338" s="2" t="s">
        <v>699</v>
      </c>
      <c r="C338" s="2" t="str">
        <f>TEXT(TransactionsTable500[[#This Row],[Order Date]],"mmm")</f>
        <v>Apr</v>
      </c>
      <c r="D338" s="2" t="s">
        <v>221</v>
      </c>
      <c r="E338" s="2" t="s">
        <v>61</v>
      </c>
      <c r="F338" s="2" t="s">
        <v>62</v>
      </c>
      <c r="G338" s="2" t="s">
        <v>63</v>
      </c>
      <c r="H338" s="2" t="s">
        <v>122</v>
      </c>
      <c r="I338" s="2" t="s">
        <v>47</v>
      </c>
      <c r="J338" s="2">
        <v>3</v>
      </c>
      <c r="K338" s="3">
        <v>6.67</v>
      </c>
      <c r="L338" s="3">
        <v>20.010000000000002</v>
      </c>
      <c r="M338" s="4">
        <v>0</v>
      </c>
      <c r="N338" s="3">
        <v>0</v>
      </c>
      <c r="O338" s="3">
        <v>20.010000000000002</v>
      </c>
      <c r="P338" s="3">
        <v>7.51</v>
      </c>
      <c r="Q338" s="3">
        <v>12.5</v>
      </c>
      <c r="R338" s="2" t="s">
        <v>96</v>
      </c>
      <c r="S338" s="2" t="s">
        <v>87</v>
      </c>
      <c r="T338" s="2" t="s">
        <v>37</v>
      </c>
      <c r="U338" s="2">
        <v>3</v>
      </c>
    </row>
    <row r="339" spans="1:21" x14ac:dyDescent="0.25">
      <c r="A339" s="2" t="s">
        <v>701</v>
      </c>
      <c r="B339" s="2" t="s">
        <v>699</v>
      </c>
      <c r="C339" s="2" t="str">
        <f>TEXT(TransactionsTable500[[#This Row],[Order Date]],"mmm")</f>
        <v>Apr</v>
      </c>
      <c r="D339" s="2" t="s">
        <v>32</v>
      </c>
      <c r="E339" s="2" t="s">
        <v>33</v>
      </c>
      <c r="F339" s="2" t="s">
        <v>34</v>
      </c>
      <c r="G339" s="2" t="s">
        <v>35</v>
      </c>
      <c r="H339" s="2" t="s">
        <v>228</v>
      </c>
      <c r="I339" s="2" t="s">
        <v>65</v>
      </c>
      <c r="J339" s="2">
        <v>4</v>
      </c>
      <c r="K339" s="3">
        <v>3.25</v>
      </c>
      <c r="L339" s="3">
        <v>13</v>
      </c>
      <c r="M339" s="4">
        <v>0.05</v>
      </c>
      <c r="N339" s="3">
        <v>0.65</v>
      </c>
      <c r="O339" s="3">
        <v>12.35</v>
      </c>
      <c r="P339" s="3">
        <v>4.5199999999999996</v>
      </c>
      <c r="Q339" s="3">
        <v>7.83</v>
      </c>
      <c r="R339" s="2" t="s">
        <v>96</v>
      </c>
      <c r="S339" s="2" t="s">
        <v>29</v>
      </c>
      <c r="T339" s="2" t="s">
        <v>37</v>
      </c>
      <c r="U339" s="2">
        <v>4</v>
      </c>
    </row>
    <row r="340" spans="1:21" x14ac:dyDescent="0.25">
      <c r="A340" s="2" t="s">
        <v>702</v>
      </c>
      <c r="B340" s="2" t="s">
        <v>703</v>
      </c>
      <c r="C340" s="2" t="str">
        <f>TEXT(TransactionsTable500[[#This Row],[Order Date]],"mmm")</f>
        <v>Apr</v>
      </c>
      <c r="D340" s="2" t="s">
        <v>155</v>
      </c>
      <c r="E340" s="2" t="s">
        <v>61</v>
      </c>
      <c r="F340" s="2" t="s">
        <v>62</v>
      </c>
      <c r="G340" s="2" t="s">
        <v>156</v>
      </c>
      <c r="H340" s="2" t="s">
        <v>72</v>
      </c>
      <c r="I340" s="2" t="s">
        <v>58</v>
      </c>
      <c r="J340" s="2">
        <v>1</v>
      </c>
      <c r="K340" s="3">
        <v>14.39</v>
      </c>
      <c r="L340" s="3">
        <v>14.39</v>
      </c>
      <c r="M340" s="4">
        <v>0</v>
      </c>
      <c r="N340" s="3">
        <v>0</v>
      </c>
      <c r="O340" s="3">
        <v>14.39</v>
      </c>
      <c r="P340" s="3">
        <v>4.9000000000000004</v>
      </c>
      <c r="Q340" s="3">
        <v>9.49</v>
      </c>
      <c r="R340" s="2" t="s">
        <v>28</v>
      </c>
      <c r="S340" s="2" t="s">
        <v>87</v>
      </c>
      <c r="T340" s="2" t="s">
        <v>90</v>
      </c>
      <c r="U340" s="2">
        <v>4</v>
      </c>
    </row>
    <row r="341" spans="1:21" x14ac:dyDescent="0.25">
      <c r="A341" s="2" t="s">
        <v>704</v>
      </c>
      <c r="B341" s="2" t="s">
        <v>705</v>
      </c>
      <c r="C341" s="2" t="str">
        <f>TEXT(TransactionsTable500[[#This Row],[Order Date]],"mmm")</f>
        <v>Apr</v>
      </c>
      <c r="D341" s="2" t="s">
        <v>270</v>
      </c>
      <c r="E341" s="2" t="s">
        <v>70</v>
      </c>
      <c r="F341" s="2" t="s">
        <v>44</v>
      </c>
      <c r="G341" s="2" t="s">
        <v>200</v>
      </c>
      <c r="H341" s="2" t="s">
        <v>53</v>
      </c>
      <c r="I341" s="2" t="s">
        <v>27</v>
      </c>
      <c r="J341" s="2">
        <v>2</v>
      </c>
      <c r="K341" s="3">
        <v>3.8</v>
      </c>
      <c r="L341" s="3">
        <v>7.6</v>
      </c>
      <c r="M341" s="4">
        <v>0</v>
      </c>
      <c r="N341" s="3">
        <v>0</v>
      </c>
      <c r="O341" s="3">
        <v>7.6</v>
      </c>
      <c r="P341" s="3">
        <v>2.86</v>
      </c>
      <c r="Q341" s="3">
        <v>4.74</v>
      </c>
      <c r="R341" s="2" t="s">
        <v>48</v>
      </c>
      <c r="S341" s="2" t="s">
        <v>36</v>
      </c>
      <c r="T341" s="2" t="s">
        <v>30</v>
      </c>
      <c r="U341" s="2">
        <v>5</v>
      </c>
    </row>
    <row r="342" spans="1:21" x14ac:dyDescent="0.25">
      <c r="A342" s="2" t="s">
        <v>706</v>
      </c>
      <c r="B342" s="2" t="s">
        <v>707</v>
      </c>
      <c r="C342" s="2" t="str">
        <f>TEXT(TransactionsTable500[[#This Row],[Order Date]],"mmm")</f>
        <v>Apr</v>
      </c>
      <c r="D342" s="2" t="s">
        <v>80</v>
      </c>
      <c r="E342" s="2" t="s">
        <v>23</v>
      </c>
      <c r="F342" s="2" t="s">
        <v>24</v>
      </c>
      <c r="G342" s="2" t="s">
        <v>81</v>
      </c>
      <c r="H342" s="2" t="s">
        <v>99</v>
      </c>
      <c r="I342" s="2" t="s">
        <v>100</v>
      </c>
      <c r="J342" s="2">
        <v>2</v>
      </c>
      <c r="K342" s="3">
        <v>4.68</v>
      </c>
      <c r="L342" s="3">
        <v>9.36</v>
      </c>
      <c r="M342" s="4">
        <v>0</v>
      </c>
      <c r="N342" s="3">
        <v>0</v>
      </c>
      <c r="O342" s="3">
        <v>9.36</v>
      </c>
      <c r="P342" s="3">
        <v>3.18</v>
      </c>
      <c r="Q342" s="3">
        <v>6.18</v>
      </c>
      <c r="R342" s="2" t="s">
        <v>48</v>
      </c>
      <c r="S342" s="2" t="s">
        <v>36</v>
      </c>
      <c r="T342" s="2" t="s">
        <v>30</v>
      </c>
      <c r="U342" s="2">
        <v>4</v>
      </c>
    </row>
    <row r="343" spans="1:21" x14ac:dyDescent="0.25">
      <c r="A343" s="2" t="s">
        <v>708</v>
      </c>
      <c r="B343" s="2" t="s">
        <v>707</v>
      </c>
      <c r="C343" s="2" t="str">
        <f>TEXT(TransactionsTable500[[#This Row],[Order Date]],"mmm")</f>
        <v>Apr</v>
      </c>
      <c r="D343" s="2" t="s">
        <v>183</v>
      </c>
      <c r="E343" s="2" t="s">
        <v>184</v>
      </c>
      <c r="F343" s="2" t="s">
        <v>62</v>
      </c>
      <c r="G343" s="2" t="s">
        <v>185</v>
      </c>
      <c r="H343" s="2" t="s">
        <v>77</v>
      </c>
      <c r="I343" s="2" t="s">
        <v>47</v>
      </c>
      <c r="J343" s="2">
        <v>1</v>
      </c>
      <c r="K343" s="3">
        <v>6.44</v>
      </c>
      <c r="L343" s="3">
        <v>6.44</v>
      </c>
      <c r="M343" s="4">
        <v>0</v>
      </c>
      <c r="N343" s="3">
        <v>0</v>
      </c>
      <c r="O343" s="3">
        <v>6.44</v>
      </c>
      <c r="P343" s="3">
        <v>2.4900000000000002</v>
      </c>
      <c r="Q343" s="3">
        <v>3.95</v>
      </c>
      <c r="R343" s="2" t="s">
        <v>28</v>
      </c>
      <c r="S343" s="2" t="s">
        <v>66</v>
      </c>
      <c r="T343" s="2" t="s">
        <v>37</v>
      </c>
      <c r="U343" s="2">
        <v>5</v>
      </c>
    </row>
    <row r="344" spans="1:21" x14ac:dyDescent="0.25">
      <c r="A344" s="2" t="s">
        <v>709</v>
      </c>
      <c r="B344" s="2" t="s">
        <v>710</v>
      </c>
      <c r="C344" s="2" t="str">
        <f>TEXT(TransactionsTable500[[#This Row],[Order Date]],"mmm")</f>
        <v>Apr</v>
      </c>
      <c r="D344" s="2" t="s">
        <v>51</v>
      </c>
      <c r="E344" s="2" t="s">
        <v>23</v>
      </c>
      <c r="F344" s="2" t="s">
        <v>24</v>
      </c>
      <c r="G344" s="2" t="s">
        <v>52</v>
      </c>
      <c r="H344" s="2" t="s">
        <v>64</v>
      </c>
      <c r="I344" s="2" t="s">
        <v>65</v>
      </c>
      <c r="J344" s="2">
        <v>1</v>
      </c>
      <c r="K344" s="3">
        <v>2.56</v>
      </c>
      <c r="L344" s="3">
        <v>2.56</v>
      </c>
      <c r="M344" s="4">
        <v>0</v>
      </c>
      <c r="N344" s="3">
        <v>0</v>
      </c>
      <c r="O344" s="3">
        <v>2.56</v>
      </c>
      <c r="P344" s="3">
        <v>0.84</v>
      </c>
      <c r="Q344" s="3">
        <v>1.72</v>
      </c>
      <c r="R344" s="2" t="s">
        <v>28</v>
      </c>
      <c r="S344" s="2" t="s">
        <v>36</v>
      </c>
      <c r="T344" s="2" t="s">
        <v>30</v>
      </c>
      <c r="U344" s="2">
        <v>3</v>
      </c>
    </row>
    <row r="345" spans="1:21" x14ac:dyDescent="0.25">
      <c r="A345" s="2" t="s">
        <v>711</v>
      </c>
      <c r="B345" s="2" t="s">
        <v>710</v>
      </c>
      <c r="C345" s="2" t="str">
        <f>TEXT(TransactionsTable500[[#This Row],[Order Date]],"mmm")</f>
        <v>Apr</v>
      </c>
      <c r="D345" s="2" t="s">
        <v>95</v>
      </c>
      <c r="E345" s="2" t="s">
        <v>23</v>
      </c>
      <c r="F345" s="2" t="s">
        <v>24</v>
      </c>
      <c r="G345" s="2" t="s">
        <v>52</v>
      </c>
      <c r="H345" s="2" t="s">
        <v>53</v>
      </c>
      <c r="I345" s="2" t="s">
        <v>27</v>
      </c>
      <c r="J345" s="2">
        <v>3</v>
      </c>
      <c r="K345" s="3">
        <v>3.76</v>
      </c>
      <c r="L345" s="3">
        <v>11.28</v>
      </c>
      <c r="M345" s="4">
        <v>0</v>
      </c>
      <c r="N345" s="3">
        <v>0</v>
      </c>
      <c r="O345" s="3">
        <v>11.28</v>
      </c>
      <c r="P345" s="3">
        <v>4.3499999999999996</v>
      </c>
      <c r="Q345" s="3">
        <v>6.93</v>
      </c>
      <c r="R345" s="2" t="s">
        <v>28</v>
      </c>
      <c r="S345" s="2" t="s">
        <v>87</v>
      </c>
      <c r="T345" s="2" t="s">
        <v>30</v>
      </c>
      <c r="U345" s="2">
        <v>3</v>
      </c>
    </row>
    <row r="346" spans="1:21" x14ac:dyDescent="0.25">
      <c r="A346" s="2" t="s">
        <v>712</v>
      </c>
      <c r="B346" s="2" t="s">
        <v>713</v>
      </c>
      <c r="C346" s="2" t="str">
        <f>TEXT(TransactionsTable500[[#This Row],[Order Date]],"mmm")</f>
        <v>Apr</v>
      </c>
      <c r="D346" s="2" t="s">
        <v>109</v>
      </c>
      <c r="E346" s="2" t="s">
        <v>33</v>
      </c>
      <c r="F346" s="2" t="s">
        <v>34</v>
      </c>
      <c r="G346" s="2" t="s">
        <v>110</v>
      </c>
      <c r="H346" s="2" t="s">
        <v>103</v>
      </c>
      <c r="I346" s="2" t="s">
        <v>27</v>
      </c>
      <c r="J346" s="2">
        <v>3</v>
      </c>
      <c r="K346" s="3">
        <v>4.66</v>
      </c>
      <c r="L346" s="3">
        <v>13.98</v>
      </c>
      <c r="M346" s="4">
        <v>0.1</v>
      </c>
      <c r="N346" s="3">
        <v>1.4</v>
      </c>
      <c r="O346" s="3">
        <v>12.58</v>
      </c>
      <c r="P346" s="3">
        <v>4.96</v>
      </c>
      <c r="Q346" s="3">
        <v>7.62</v>
      </c>
      <c r="R346" s="2" t="s">
        <v>96</v>
      </c>
      <c r="S346" s="2" t="s">
        <v>87</v>
      </c>
      <c r="T346" s="2" t="s">
        <v>37</v>
      </c>
      <c r="U346" s="2">
        <v>4</v>
      </c>
    </row>
    <row r="347" spans="1:21" x14ac:dyDescent="0.25">
      <c r="A347" s="2" t="s">
        <v>714</v>
      </c>
      <c r="B347" s="2" t="s">
        <v>713</v>
      </c>
      <c r="C347" s="2" t="str">
        <f>TEXT(TransactionsTable500[[#This Row],[Order Date]],"mmm")</f>
        <v>Apr</v>
      </c>
      <c r="D347" s="2" t="s">
        <v>42</v>
      </c>
      <c r="E347" s="2" t="s">
        <v>43</v>
      </c>
      <c r="F347" s="2" t="s">
        <v>44</v>
      </c>
      <c r="G347" s="2" t="s">
        <v>45</v>
      </c>
      <c r="H347" s="2" t="s">
        <v>57</v>
      </c>
      <c r="I347" s="2" t="s">
        <v>58</v>
      </c>
      <c r="J347" s="2">
        <v>4</v>
      </c>
      <c r="K347" s="3">
        <v>8.9499999999999993</v>
      </c>
      <c r="L347" s="3">
        <v>35.799999999999997</v>
      </c>
      <c r="M347" s="4">
        <v>0</v>
      </c>
      <c r="N347" s="3">
        <v>0</v>
      </c>
      <c r="O347" s="3">
        <v>35.799999999999997</v>
      </c>
      <c r="P347" s="3">
        <v>11.55</v>
      </c>
      <c r="Q347" s="3">
        <v>24.25</v>
      </c>
      <c r="R347" s="2" t="s">
        <v>28</v>
      </c>
      <c r="S347" s="2" t="s">
        <v>87</v>
      </c>
      <c r="T347" s="2" t="s">
        <v>30</v>
      </c>
      <c r="U347" s="2">
        <v>4</v>
      </c>
    </row>
    <row r="348" spans="1:21" x14ac:dyDescent="0.25">
      <c r="A348" s="2" t="s">
        <v>715</v>
      </c>
      <c r="B348" s="2" t="s">
        <v>713</v>
      </c>
      <c r="C348" s="2" t="str">
        <f>TEXT(TransactionsTable500[[#This Row],[Order Date]],"mmm")</f>
        <v>Apr</v>
      </c>
      <c r="D348" s="2" t="s">
        <v>40</v>
      </c>
      <c r="E348" s="2" t="s">
        <v>33</v>
      </c>
      <c r="F348" s="2" t="s">
        <v>34</v>
      </c>
      <c r="G348" s="2" t="s">
        <v>35</v>
      </c>
      <c r="H348" s="2" t="s">
        <v>86</v>
      </c>
      <c r="I348" s="2" t="s">
        <v>27</v>
      </c>
      <c r="J348" s="2">
        <v>2</v>
      </c>
      <c r="K348" s="3">
        <v>4.75</v>
      </c>
      <c r="L348" s="3">
        <v>9.5</v>
      </c>
      <c r="M348" s="4">
        <v>0.15</v>
      </c>
      <c r="N348" s="3">
        <v>1.42</v>
      </c>
      <c r="O348" s="3">
        <v>8.08</v>
      </c>
      <c r="P348" s="3">
        <v>3.14</v>
      </c>
      <c r="Q348" s="3">
        <v>4.9400000000000004</v>
      </c>
      <c r="R348" s="2" t="s">
        <v>28</v>
      </c>
      <c r="S348" s="2" t="s">
        <v>87</v>
      </c>
      <c r="T348" s="2" t="s">
        <v>90</v>
      </c>
      <c r="U348" s="2">
        <v>4</v>
      </c>
    </row>
    <row r="349" spans="1:21" x14ac:dyDescent="0.25">
      <c r="A349" s="2" t="s">
        <v>716</v>
      </c>
      <c r="B349" s="2" t="s">
        <v>717</v>
      </c>
      <c r="C349" s="2" t="str">
        <f>TEXT(TransactionsTable500[[#This Row],[Order Date]],"mmm")</f>
        <v>May</v>
      </c>
      <c r="D349" s="2" t="s">
        <v>115</v>
      </c>
      <c r="E349" s="2" t="s">
        <v>70</v>
      </c>
      <c r="F349" s="2" t="s">
        <v>44</v>
      </c>
      <c r="G349" s="2" t="s">
        <v>76</v>
      </c>
      <c r="H349" s="2" t="s">
        <v>103</v>
      </c>
      <c r="I349" s="2" t="s">
        <v>27</v>
      </c>
      <c r="J349" s="2">
        <v>1</v>
      </c>
      <c r="K349" s="3">
        <v>4.84</v>
      </c>
      <c r="L349" s="3">
        <v>4.84</v>
      </c>
      <c r="M349" s="4">
        <v>0.05</v>
      </c>
      <c r="N349" s="3">
        <v>0.24</v>
      </c>
      <c r="O349" s="3">
        <v>4.5999999999999996</v>
      </c>
      <c r="P349" s="3">
        <v>1.77</v>
      </c>
      <c r="Q349" s="3">
        <v>2.83</v>
      </c>
      <c r="R349" s="2" t="s">
        <v>28</v>
      </c>
      <c r="S349" s="2" t="s">
        <v>36</v>
      </c>
      <c r="T349" s="2" t="s">
        <v>90</v>
      </c>
      <c r="U349" s="2">
        <v>5</v>
      </c>
    </row>
    <row r="350" spans="1:21" x14ac:dyDescent="0.25">
      <c r="A350" s="2" t="s">
        <v>718</v>
      </c>
      <c r="B350" s="2" t="s">
        <v>719</v>
      </c>
      <c r="C350" s="2" t="str">
        <f>TEXT(TransactionsTable500[[#This Row],[Order Date]],"mmm")</f>
        <v>May</v>
      </c>
      <c r="D350" s="2" t="s">
        <v>109</v>
      </c>
      <c r="E350" s="2" t="s">
        <v>33</v>
      </c>
      <c r="F350" s="2" t="s">
        <v>34</v>
      </c>
      <c r="G350" s="2" t="s">
        <v>110</v>
      </c>
      <c r="H350" s="2" t="s">
        <v>203</v>
      </c>
      <c r="I350" s="2" t="s">
        <v>100</v>
      </c>
      <c r="J350" s="2">
        <v>1</v>
      </c>
      <c r="K350" s="3">
        <v>4.1100000000000003</v>
      </c>
      <c r="L350" s="3">
        <v>4.1100000000000003</v>
      </c>
      <c r="M350" s="4">
        <v>0.15</v>
      </c>
      <c r="N350" s="3">
        <v>0.62</v>
      </c>
      <c r="O350" s="3">
        <v>3.49</v>
      </c>
      <c r="P350" s="3">
        <v>1.24</v>
      </c>
      <c r="Q350" s="3">
        <v>2.25</v>
      </c>
      <c r="R350" s="2" t="s">
        <v>28</v>
      </c>
      <c r="S350" s="2" t="s">
        <v>29</v>
      </c>
      <c r="T350" s="2" t="s">
        <v>30</v>
      </c>
      <c r="U350" s="2">
        <v>5</v>
      </c>
    </row>
    <row r="351" spans="1:21" x14ac:dyDescent="0.25">
      <c r="A351" s="2" t="s">
        <v>720</v>
      </c>
      <c r="B351" s="2" t="s">
        <v>721</v>
      </c>
      <c r="C351" s="2" t="str">
        <f>TEXT(TransactionsTable500[[#This Row],[Order Date]],"mmm")</f>
        <v>May</v>
      </c>
      <c r="D351" s="2" t="s">
        <v>177</v>
      </c>
      <c r="E351" s="2" t="s">
        <v>43</v>
      </c>
      <c r="F351" s="2" t="s">
        <v>44</v>
      </c>
      <c r="G351" s="2" t="s">
        <v>45</v>
      </c>
      <c r="H351" s="2" t="s">
        <v>122</v>
      </c>
      <c r="I351" s="2" t="s">
        <v>47</v>
      </c>
      <c r="J351" s="2">
        <v>2</v>
      </c>
      <c r="K351" s="3">
        <v>6.59</v>
      </c>
      <c r="L351" s="3">
        <v>13.18</v>
      </c>
      <c r="M351" s="4">
        <v>0</v>
      </c>
      <c r="N351" s="3">
        <v>0</v>
      </c>
      <c r="O351" s="3">
        <v>13.18</v>
      </c>
      <c r="P351" s="3">
        <v>4.51</v>
      </c>
      <c r="Q351" s="3">
        <v>8.67</v>
      </c>
      <c r="R351" s="2" t="s">
        <v>96</v>
      </c>
      <c r="S351" s="2" t="s">
        <v>66</v>
      </c>
      <c r="T351" s="2" t="s">
        <v>30</v>
      </c>
      <c r="U351" s="2">
        <v>4</v>
      </c>
    </row>
    <row r="352" spans="1:21" x14ac:dyDescent="0.25">
      <c r="A352" s="2" t="s">
        <v>722</v>
      </c>
      <c r="B352" s="2" t="s">
        <v>723</v>
      </c>
      <c r="C352" s="2" t="str">
        <f>TEXT(TransactionsTable500[[#This Row],[Order Date]],"mmm")</f>
        <v>May</v>
      </c>
      <c r="D352" s="2" t="s">
        <v>199</v>
      </c>
      <c r="E352" s="2" t="s">
        <v>70</v>
      </c>
      <c r="F352" s="2" t="s">
        <v>44</v>
      </c>
      <c r="G352" s="2" t="s">
        <v>200</v>
      </c>
      <c r="H352" s="2" t="s">
        <v>122</v>
      </c>
      <c r="I352" s="2" t="s">
        <v>47</v>
      </c>
      <c r="J352" s="2">
        <v>1</v>
      </c>
      <c r="K352" s="3">
        <v>6.72</v>
      </c>
      <c r="L352" s="3">
        <v>6.72</v>
      </c>
      <c r="M352" s="4">
        <v>0</v>
      </c>
      <c r="N352" s="3">
        <v>0</v>
      </c>
      <c r="O352" s="3">
        <v>6.72</v>
      </c>
      <c r="P352" s="3">
        <v>2.82</v>
      </c>
      <c r="Q352" s="3">
        <v>3.9</v>
      </c>
      <c r="R352" s="2" t="s">
        <v>28</v>
      </c>
      <c r="S352" s="2" t="s">
        <v>29</v>
      </c>
      <c r="T352" s="2" t="s">
        <v>30</v>
      </c>
      <c r="U352" s="2">
        <v>5</v>
      </c>
    </row>
    <row r="353" spans="1:21" x14ac:dyDescent="0.25">
      <c r="A353" s="2" t="s">
        <v>724</v>
      </c>
      <c r="B353" s="2" t="s">
        <v>725</v>
      </c>
      <c r="C353" s="2" t="str">
        <f>TEXT(TransactionsTable500[[#This Row],[Order Date]],"mmm")</f>
        <v>May</v>
      </c>
      <c r="D353" s="2" t="s">
        <v>84</v>
      </c>
      <c r="E353" s="2" t="s">
        <v>61</v>
      </c>
      <c r="F353" s="2" t="s">
        <v>62</v>
      </c>
      <c r="G353" s="2" t="s">
        <v>85</v>
      </c>
      <c r="H353" s="2" t="s">
        <v>77</v>
      </c>
      <c r="I353" s="2" t="s">
        <v>47</v>
      </c>
      <c r="J353" s="2">
        <v>1</v>
      </c>
      <c r="K353" s="3">
        <v>6.77</v>
      </c>
      <c r="L353" s="3">
        <v>6.77</v>
      </c>
      <c r="M353" s="4">
        <v>0</v>
      </c>
      <c r="N353" s="3">
        <v>0</v>
      </c>
      <c r="O353" s="3">
        <v>6.77</v>
      </c>
      <c r="P353" s="3">
        <v>2.73</v>
      </c>
      <c r="Q353" s="3">
        <v>4.04</v>
      </c>
      <c r="R353" s="2" t="s">
        <v>48</v>
      </c>
      <c r="S353" s="2" t="s">
        <v>66</v>
      </c>
      <c r="T353" s="2" t="s">
        <v>30</v>
      </c>
      <c r="U353" s="2">
        <v>5</v>
      </c>
    </row>
    <row r="354" spans="1:21" x14ac:dyDescent="0.25">
      <c r="A354" s="2" t="s">
        <v>726</v>
      </c>
      <c r="B354" s="2" t="s">
        <v>727</v>
      </c>
      <c r="C354" s="2" t="str">
        <f>TEXT(TransactionsTable500[[#This Row],[Order Date]],"mmm")</f>
        <v>May</v>
      </c>
      <c r="D354" s="2" t="s">
        <v>109</v>
      </c>
      <c r="E354" s="2" t="s">
        <v>33</v>
      </c>
      <c r="F354" s="2" t="s">
        <v>34</v>
      </c>
      <c r="G354" s="2" t="s">
        <v>110</v>
      </c>
      <c r="H354" s="2" t="s">
        <v>26</v>
      </c>
      <c r="I354" s="2" t="s">
        <v>27</v>
      </c>
      <c r="J354" s="2">
        <v>1</v>
      </c>
      <c r="K354" s="3">
        <v>5.01</v>
      </c>
      <c r="L354" s="3">
        <v>5.01</v>
      </c>
      <c r="M354" s="4">
        <v>0</v>
      </c>
      <c r="N354" s="3">
        <v>0</v>
      </c>
      <c r="O354" s="3">
        <v>5.01</v>
      </c>
      <c r="P354" s="3">
        <v>1.8</v>
      </c>
      <c r="Q354" s="3">
        <v>3.21</v>
      </c>
      <c r="R354" s="2" t="s">
        <v>48</v>
      </c>
      <c r="S354" s="2" t="s">
        <v>87</v>
      </c>
      <c r="T354" s="2" t="s">
        <v>30</v>
      </c>
      <c r="U354" s="2">
        <v>3</v>
      </c>
    </row>
    <row r="355" spans="1:21" x14ac:dyDescent="0.25">
      <c r="A355" s="2" t="s">
        <v>728</v>
      </c>
      <c r="B355" s="2" t="s">
        <v>729</v>
      </c>
      <c r="C355" s="2" t="str">
        <f>TEXT(TransactionsTable500[[#This Row],[Order Date]],"mmm")</f>
        <v>May</v>
      </c>
      <c r="D355" s="2" t="s">
        <v>129</v>
      </c>
      <c r="E355" s="2" t="s">
        <v>61</v>
      </c>
      <c r="F355" s="2" t="s">
        <v>62</v>
      </c>
      <c r="G355" s="2" t="s">
        <v>130</v>
      </c>
      <c r="H355" s="2" t="s">
        <v>72</v>
      </c>
      <c r="I355" s="2" t="s">
        <v>58</v>
      </c>
      <c r="J355" s="2">
        <v>1</v>
      </c>
      <c r="K355" s="3">
        <v>14.37</v>
      </c>
      <c r="L355" s="3">
        <v>14.37</v>
      </c>
      <c r="M355" s="4">
        <v>0.05</v>
      </c>
      <c r="N355" s="3">
        <v>0.72</v>
      </c>
      <c r="O355" s="3">
        <v>13.65</v>
      </c>
      <c r="P355" s="3">
        <v>4.96</v>
      </c>
      <c r="Q355" s="3">
        <v>8.69</v>
      </c>
      <c r="R355" s="2" t="s">
        <v>48</v>
      </c>
      <c r="S355" s="2" t="s">
        <v>36</v>
      </c>
      <c r="T355" s="2" t="s">
        <v>90</v>
      </c>
      <c r="U355" s="2">
        <v>4</v>
      </c>
    </row>
    <row r="356" spans="1:21" x14ac:dyDescent="0.25">
      <c r="A356" s="2" t="s">
        <v>730</v>
      </c>
      <c r="B356" s="2" t="s">
        <v>731</v>
      </c>
      <c r="C356" s="2" t="str">
        <f>TEXT(TransactionsTable500[[#This Row],[Order Date]],"mmm")</f>
        <v>May</v>
      </c>
      <c r="D356" s="2" t="s">
        <v>75</v>
      </c>
      <c r="E356" s="2" t="s">
        <v>70</v>
      </c>
      <c r="F356" s="2" t="s">
        <v>44</v>
      </c>
      <c r="G356" s="2" t="s">
        <v>76</v>
      </c>
      <c r="H356" s="2" t="s">
        <v>203</v>
      </c>
      <c r="I356" s="2" t="s">
        <v>100</v>
      </c>
      <c r="J356" s="2">
        <v>2</v>
      </c>
      <c r="K356" s="3">
        <v>4.22</v>
      </c>
      <c r="L356" s="3">
        <v>8.44</v>
      </c>
      <c r="M356" s="4">
        <v>0</v>
      </c>
      <c r="N356" s="3">
        <v>0</v>
      </c>
      <c r="O356" s="3">
        <v>8.44</v>
      </c>
      <c r="P356" s="3">
        <v>3.51</v>
      </c>
      <c r="Q356" s="3">
        <v>4.93</v>
      </c>
      <c r="R356" s="2" t="s">
        <v>48</v>
      </c>
      <c r="S356" s="2" t="s">
        <v>87</v>
      </c>
      <c r="T356" s="2" t="s">
        <v>37</v>
      </c>
      <c r="U356" s="2">
        <v>4</v>
      </c>
    </row>
    <row r="357" spans="1:21" x14ac:dyDescent="0.25">
      <c r="A357" s="2" t="s">
        <v>732</v>
      </c>
      <c r="B357" s="2" t="s">
        <v>733</v>
      </c>
      <c r="C357" s="2" t="str">
        <f>TEXT(TransactionsTable500[[#This Row],[Order Date]],"mmm")</f>
        <v>May</v>
      </c>
      <c r="D357" s="2" t="s">
        <v>270</v>
      </c>
      <c r="E357" s="2" t="s">
        <v>70</v>
      </c>
      <c r="F357" s="2" t="s">
        <v>44</v>
      </c>
      <c r="G357" s="2" t="s">
        <v>200</v>
      </c>
      <c r="H357" s="2" t="s">
        <v>77</v>
      </c>
      <c r="I357" s="2" t="s">
        <v>47</v>
      </c>
      <c r="J357" s="2">
        <v>3</v>
      </c>
      <c r="K357" s="3">
        <v>6.6</v>
      </c>
      <c r="L357" s="3">
        <v>19.8</v>
      </c>
      <c r="M357" s="4">
        <v>0</v>
      </c>
      <c r="N357" s="3">
        <v>0</v>
      </c>
      <c r="O357" s="3">
        <v>19.8</v>
      </c>
      <c r="P357" s="3">
        <v>6.77</v>
      </c>
      <c r="Q357" s="3">
        <v>13.03</v>
      </c>
      <c r="R357" s="2" t="s">
        <v>48</v>
      </c>
      <c r="S357" s="2" t="s">
        <v>36</v>
      </c>
      <c r="T357" s="2" t="s">
        <v>37</v>
      </c>
      <c r="U357" s="2">
        <v>4</v>
      </c>
    </row>
    <row r="358" spans="1:21" x14ac:dyDescent="0.25">
      <c r="A358" s="2" t="s">
        <v>734</v>
      </c>
      <c r="B358" s="2" t="s">
        <v>735</v>
      </c>
      <c r="C358" s="2" t="str">
        <f>TEXT(TransactionsTable500[[#This Row],[Order Date]],"mmm")</f>
        <v>May</v>
      </c>
      <c r="D358" s="2" t="s">
        <v>69</v>
      </c>
      <c r="E358" s="2" t="s">
        <v>70</v>
      </c>
      <c r="F358" s="2" t="s">
        <v>44</v>
      </c>
      <c r="G358" s="2" t="s">
        <v>71</v>
      </c>
      <c r="H358" s="2" t="s">
        <v>228</v>
      </c>
      <c r="I358" s="2" t="s">
        <v>65</v>
      </c>
      <c r="J358" s="2">
        <v>1</v>
      </c>
      <c r="K358" s="3">
        <v>3.57</v>
      </c>
      <c r="L358" s="3">
        <v>3.57</v>
      </c>
      <c r="M358" s="4">
        <v>0</v>
      </c>
      <c r="N358" s="3">
        <v>0</v>
      </c>
      <c r="O358" s="3">
        <v>3.57</v>
      </c>
      <c r="P358" s="3">
        <v>1.29</v>
      </c>
      <c r="Q358" s="3">
        <v>2.2799999999999998</v>
      </c>
      <c r="R358" s="2" t="s">
        <v>96</v>
      </c>
      <c r="S358" s="2" t="s">
        <v>29</v>
      </c>
      <c r="T358" s="2" t="s">
        <v>30</v>
      </c>
      <c r="U358" s="2">
        <v>5</v>
      </c>
    </row>
    <row r="359" spans="1:21" x14ac:dyDescent="0.25">
      <c r="A359" s="2" t="s">
        <v>736</v>
      </c>
      <c r="B359" s="2" t="s">
        <v>737</v>
      </c>
      <c r="C359" s="2" t="str">
        <f>TEXT(TransactionsTable500[[#This Row],[Order Date]],"mmm")</f>
        <v>May</v>
      </c>
      <c r="D359" s="2" t="s">
        <v>221</v>
      </c>
      <c r="E359" s="2" t="s">
        <v>61</v>
      </c>
      <c r="F359" s="2" t="s">
        <v>62</v>
      </c>
      <c r="G359" s="2" t="s">
        <v>63</v>
      </c>
      <c r="H359" s="2" t="s">
        <v>169</v>
      </c>
      <c r="I359" s="2" t="s">
        <v>65</v>
      </c>
      <c r="J359" s="2">
        <v>2</v>
      </c>
      <c r="K359" s="3">
        <v>3.33</v>
      </c>
      <c r="L359" s="3">
        <v>6.66</v>
      </c>
      <c r="M359" s="4">
        <v>0</v>
      </c>
      <c r="N359" s="3">
        <v>0</v>
      </c>
      <c r="O359" s="3">
        <v>6.66</v>
      </c>
      <c r="P359" s="3">
        <v>2.65</v>
      </c>
      <c r="Q359" s="3">
        <v>4.01</v>
      </c>
      <c r="R359" s="2" t="s">
        <v>28</v>
      </c>
      <c r="S359" s="2" t="s">
        <v>66</v>
      </c>
      <c r="T359" s="2" t="s">
        <v>30</v>
      </c>
      <c r="U359" s="2">
        <v>5</v>
      </c>
    </row>
    <row r="360" spans="1:21" x14ac:dyDescent="0.25">
      <c r="A360" s="2" t="s">
        <v>738</v>
      </c>
      <c r="B360" s="2" t="s">
        <v>739</v>
      </c>
      <c r="C360" s="2" t="str">
        <f>TEXT(TransactionsTable500[[#This Row],[Order Date]],"mmm")</f>
        <v>May</v>
      </c>
      <c r="D360" s="2" t="s">
        <v>183</v>
      </c>
      <c r="E360" s="2" t="s">
        <v>184</v>
      </c>
      <c r="F360" s="2" t="s">
        <v>62</v>
      </c>
      <c r="G360" s="2" t="s">
        <v>185</v>
      </c>
      <c r="H360" s="2" t="s">
        <v>112</v>
      </c>
      <c r="I360" s="2" t="s">
        <v>100</v>
      </c>
      <c r="J360" s="2">
        <v>1</v>
      </c>
      <c r="K360" s="3">
        <v>3.94</v>
      </c>
      <c r="L360" s="3">
        <v>3.94</v>
      </c>
      <c r="M360" s="4">
        <v>0</v>
      </c>
      <c r="N360" s="3">
        <v>0</v>
      </c>
      <c r="O360" s="3">
        <v>3.94</v>
      </c>
      <c r="P360" s="3">
        <v>1.56</v>
      </c>
      <c r="Q360" s="3">
        <v>2.38</v>
      </c>
      <c r="R360" s="2" t="s">
        <v>28</v>
      </c>
      <c r="S360" s="2" t="s">
        <v>87</v>
      </c>
      <c r="T360" s="2" t="s">
        <v>30</v>
      </c>
      <c r="U360" s="2">
        <v>4</v>
      </c>
    </row>
    <row r="361" spans="1:21" x14ac:dyDescent="0.25">
      <c r="A361" s="2" t="s">
        <v>740</v>
      </c>
      <c r="B361" s="2" t="s">
        <v>741</v>
      </c>
      <c r="C361" s="2" t="str">
        <f>TEXT(TransactionsTable500[[#This Row],[Order Date]],"mmm")</f>
        <v>May</v>
      </c>
      <c r="D361" s="2" t="s">
        <v>105</v>
      </c>
      <c r="E361" s="2" t="s">
        <v>61</v>
      </c>
      <c r="F361" s="2" t="s">
        <v>62</v>
      </c>
      <c r="G361" s="2" t="s">
        <v>85</v>
      </c>
      <c r="H361" s="2" t="s">
        <v>72</v>
      </c>
      <c r="I361" s="2" t="s">
        <v>58</v>
      </c>
      <c r="J361" s="2">
        <v>2</v>
      </c>
      <c r="K361" s="3">
        <v>14.54</v>
      </c>
      <c r="L361" s="3">
        <v>29.08</v>
      </c>
      <c r="M361" s="4">
        <v>0</v>
      </c>
      <c r="N361" s="3">
        <v>0</v>
      </c>
      <c r="O361" s="3">
        <v>29.08</v>
      </c>
      <c r="P361" s="3">
        <v>10.01</v>
      </c>
      <c r="Q361" s="3">
        <v>19.07</v>
      </c>
      <c r="R361" s="2" t="s">
        <v>48</v>
      </c>
      <c r="S361" s="2" t="s">
        <v>29</v>
      </c>
      <c r="T361" s="2" t="s">
        <v>30</v>
      </c>
      <c r="U361" s="2">
        <v>5</v>
      </c>
    </row>
    <row r="362" spans="1:21" x14ac:dyDescent="0.25">
      <c r="A362" s="2" t="s">
        <v>742</v>
      </c>
      <c r="B362" s="2" t="s">
        <v>743</v>
      </c>
      <c r="C362" s="2" t="str">
        <f>TEXT(TransactionsTable500[[#This Row],[Order Date]],"mmm")</f>
        <v>May</v>
      </c>
      <c r="D362" s="2" t="s">
        <v>109</v>
      </c>
      <c r="E362" s="2" t="s">
        <v>33</v>
      </c>
      <c r="F362" s="2" t="s">
        <v>34</v>
      </c>
      <c r="G362" s="2" t="s">
        <v>110</v>
      </c>
      <c r="H362" s="2" t="s">
        <v>106</v>
      </c>
      <c r="I362" s="2" t="s">
        <v>100</v>
      </c>
      <c r="J362" s="2">
        <v>4</v>
      </c>
      <c r="K362" s="3">
        <v>3.57</v>
      </c>
      <c r="L362" s="3">
        <v>14.28</v>
      </c>
      <c r="M362" s="4">
        <v>0</v>
      </c>
      <c r="N362" s="3">
        <v>0</v>
      </c>
      <c r="O362" s="3">
        <v>14.28</v>
      </c>
      <c r="P362" s="3">
        <v>5.42</v>
      </c>
      <c r="Q362" s="3">
        <v>8.86</v>
      </c>
      <c r="R362" s="2" t="s">
        <v>48</v>
      </c>
      <c r="S362" s="2" t="s">
        <v>29</v>
      </c>
      <c r="T362" s="2" t="s">
        <v>30</v>
      </c>
      <c r="U362" s="2">
        <v>4</v>
      </c>
    </row>
    <row r="363" spans="1:21" x14ac:dyDescent="0.25">
      <c r="A363" s="2" t="s">
        <v>744</v>
      </c>
      <c r="B363" s="2" t="s">
        <v>743</v>
      </c>
      <c r="C363" s="2" t="str">
        <f>TEXT(TransactionsTable500[[#This Row],[Order Date]],"mmm")</f>
        <v>May</v>
      </c>
      <c r="D363" s="2" t="s">
        <v>51</v>
      </c>
      <c r="E363" s="2" t="s">
        <v>23</v>
      </c>
      <c r="F363" s="2" t="s">
        <v>24</v>
      </c>
      <c r="G363" s="2" t="s">
        <v>52</v>
      </c>
      <c r="H363" s="2" t="s">
        <v>77</v>
      </c>
      <c r="I363" s="2" t="s">
        <v>47</v>
      </c>
      <c r="J363" s="2">
        <v>3</v>
      </c>
      <c r="K363" s="3">
        <v>6.4</v>
      </c>
      <c r="L363" s="3">
        <v>19.2</v>
      </c>
      <c r="M363" s="4">
        <v>0.1</v>
      </c>
      <c r="N363" s="3">
        <v>1.92</v>
      </c>
      <c r="O363" s="3">
        <v>17.28</v>
      </c>
      <c r="P363" s="3">
        <v>5.99</v>
      </c>
      <c r="Q363" s="3">
        <v>11.29</v>
      </c>
      <c r="R363" s="2" t="s">
        <v>48</v>
      </c>
      <c r="S363" s="2" t="s">
        <v>29</v>
      </c>
      <c r="T363" s="2" t="s">
        <v>30</v>
      </c>
      <c r="U363" s="2">
        <v>5</v>
      </c>
    </row>
    <row r="364" spans="1:21" x14ac:dyDescent="0.25">
      <c r="A364" s="2" t="s">
        <v>745</v>
      </c>
      <c r="B364" s="2" t="s">
        <v>746</v>
      </c>
      <c r="C364" s="2" t="str">
        <f>TEXT(TransactionsTable500[[#This Row],[Order Date]],"mmm")</f>
        <v>May</v>
      </c>
      <c r="D364" s="2" t="s">
        <v>75</v>
      </c>
      <c r="E364" s="2" t="s">
        <v>70</v>
      </c>
      <c r="F364" s="2" t="s">
        <v>44</v>
      </c>
      <c r="G364" s="2" t="s">
        <v>76</v>
      </c>
      <c r="H364" s="2" t="s">
        <v>231</v>
      </c>
      <c r="I364" s="2" t="s">
        <v>100</v>
      </c>
      <c r="J364" s="2">
        <v>1</v>
      </c>
      <c r="K364" s="3">
        <v>5.03</v>
      </c>
      <c r="L364" s="3">
        <v>5.03</v>
      </c>
      <c r="M364" s="4">
        <v>0.05</v>
      </c>
      <c r="N364" s="3">
        <v>0.25</v>
      </c>
      <c r="O364" s="3">
        <v>4.78</v>
      </c>
      <c r="P364" s="3">
        <v>1.74</v>
      </c>
      <c r="Q364" s="3">
        <v>3.04</v>
      </c>
      <c r="R364" s="2" t="s">
        <v>48</v>
      </c>
      <c r="S364" s="2" t="s">
        <v>29</v>
      </c>
      <c r="T364" s="2" t="s">
        <v>30</v>
      </c>
      <c r="U364" s="2">
        <v>5</v>
      </c>
    </row>
    <row r="365" spans="1:21" x14ac:dyDescent="0.25">
      <c r="A365" s="2" t="s">
        <v>747</v>
      </c>
      <c r="B365" s="2" t="s">
        <v>748</v>
      </c>
      <c r="C365" s="2" t="str">
        <f>TEXT(TransactionsTable500[[#This Row],[Order Date]],"mmm")</f>
        <v>May</v>
      </c>
      <c r="D365" s="2" t="s">
        <v>75</v>
      </c>
      <c r="E365" s="2" t="s">
        <v>70</v>
      </c>
      <c r="F365" s="2" t="s">
        <v>44</v>
      </c>
      <c r="G365" s="2" t="s">
        <v>76</v>
      </c>
      <c r="H365" s="2" t="s">
        <v>140</v>
      </c>
      <c r="I365" s="2" t="s">
        <v>58</v>
      </c>
      <c r="J365" s="2">
        <v>2</v>
      </c>
      <c r="K365" s="3">
        <v>12.83</v>
      </c>
      <c r="L365" s="3">
        <v>25.66</v>
      </c>
      <c r="M365" s="4">
        <v>0</v>
      </c>
      <c r="N365" s="3">
        <v>0</v>
      </c>
      <c r="O365" s="3">
        <v>25.66</v>
      </c>
      <c r="P365" s="3">
        <v>10.199999999999999</v>
      </c>
      <c r="Q365" s="3">
        <v>15.46</v>
      </c>
      <c r="R365" s="2" t="s">
        <v>96</v>
      </c>
      <c r="S365" s="2" t="s">
        <v>29</v>
      </c>
      <c r="T365" s="2" t="s">
        <v>30</v>
      </c>
      <c r="U365" s="2">
        <v>3</v>
      </c>
    </row>
    <row r="366" spans="1:21" x14ac:dyDescent="0.25">
      <c r="A366" s="2" t="s">
        <v>749</v>
      </c>
      <c r="B366" s="2" t="s">
        <v>748</v>
      </c>
      <c r="C366" s="2" t="str">
        <f>TEXT(TransactionsTable500[[#This Row],[Order Date]],"mmm")</f>
        <v>May</v>
      </c>
      <c r="D366" s="2" t="s">
        <v>105</v>
      </c>
      <c r="E366" s="2" t="s">
        <v>61</v>
      </c>
      <c r="F366" s="2" t="s">
        <v>62</v>
      </c>
      <c r="G366" s="2" t="s">
        <v>85</v>
      </c>
      <c r="H366" s="2" t="s">
        <v>157</v>
      </c>
      <c r="I366" s="2" t="s">
        <v>47</v>
      </c>
      <c r="J366" s="2">
        <v>3</v>
      </c>
      <c r="K366" s="3">
        <v>7.51</v>
      </c>
      <c r="L366" s="3">
        <v>22.53</v>
      </c>
      <c r="M366" s="4">
        <v>0</v>
      </c>
      <c r="N366" s="3">
        <v>0</v>
      </c>
      <c r="O366" s="3">
        <v>22.53</v>
      </c>
      <c r="P366" s="3">
        <v>9.31</v>
      </c>
      <c r="Q366" s="3">
        <v>13.22</v>
      </c>
      <c r="R366" s="2" t="s">
        <v>28</v>
      </c>
      <c r="S366" s="2" t="s">
        <v>29</v>
      </c>
      <c r="T366" s="2" t="s">
        <v>30</v>
      </c>
      <c r="U366" s="2">
        <v>5</v>
      </c>
    </row>
    <row r="367" spans="1:21" x14ac:dyDescent="0.25">
      <c r="A367" s="2" t="s">
        <v>750</v>
      </c>
      <c r="B367" s="2" t="s">
        <v>751</v>
      </c>
      <c r="C367" s="2" t="str">
        <f>TEXT(TransactionsTable500[[#This Row],[Order Date]],"mmm")</f>
        <v>May</v>
      </c>
      <c r="D367" s="2" t="s">
        <v>165</v>
      </c>
      <c r="E367" s="2" t="s">
        <v>61</v>
      </c>
      <c r="F367" s="2" t="s">
        <v>62</v>
      </c>
      <c r="G367" s="2" t="s">
        <v>130</v>
      </c>
      <c r="H367" s="2" t="s">
        <v>99</v>
      </c>
      <c r="I367" s="2" t="s">
        <v>100</v>
      </c>
      <c r="J367" s="2">
        <v>1</v>
      </c>
      <c r="K367" s="3">
        <v>4.46</v>
      </c>
      <c r="L367" s="3">
        <v>4.46</v>
      </c>
      <c r="M367" s="4">
        <v>0</v>
      </c>
      <c r="N367" s="3">
        <v>0</v>
      </c>
      <c r="O367" s="3">
        <v>4.46</v>
      </c>
      <c r="P367" s="3">
        <v>1.84</v>
      </c>
      <c r="Q367" s="3">
        <v>2.62</v>
      </c>
      <c r="R367" s="2" t="s">
        <v>48</v>
      </c>
      <c r="S367" s="2" t="s">
        <v>29</v>
      </c>
      <c r="T367" s="2" t="s">
        <v>30</v>
      </c>
      <c r="U367" s="2">
        <v>5</v>
      </c>
    </row>
    <row r="368" spans="1:21" x14ac:dyDescent="0.25">
      <c r="A368" s="2" t="s">
        <v>752</v>
      </c>
      <c r="B368" s="2" t="s">
        <v>753</v>
      </c>
      <c r="C368" s="2" t="str">
        <f>TEXT(TransactionsTable500[[#This Row],[Order Date]],"mmm")</f>
        <v>Jun</v>
      </c>
      <c r="D368" s="2" t="s">
        <v>115</v>
      </c>
      <c r="E368" s="2" t="s">
        <v>70</v>
      </c>
      <c r="F368" s="2" t="s">
        <v>44</v>
      </c>
      <c r="G368" s="2" t="s">
        <v>76</v>
      </c>
      <c r="H368" s="2" t="s">
        <v>140</v>
      </c>
      <c r="I368" s="2" t="s">
        <v>58</v>
      </c>
      <c r="J368" s="2">
        <v>2</v>
      </c>
      <c r="K368" s="3">
        <v>12.28</v>
      </c>
      <c r="L368" s="3">
        <v>24.56</v>
      </c>
      <c r="M368" s="4">
        <v>0.1</v>
      </c>
      <c r="N368" s="3">
        <v>2.46</v>
      </c>
      <c r="O368" s="3">
        <v>22.1</v>
      </c>
      <c r="P368" s="3">
        <v>8.09</v>
      </c>
      <c r="Q368" s="3">
        <v>14.01</v>
      </c>
      <c r="R368" s="2" t="s">
        <v>48</v>
      </c>
      <c r="S368" s="2" t="s">
        <v>87</v>
      </c>
      <c r="T368" s="2" t="s">
        <v>37</v>
      </c>
      <c r="U368" s="2">
        <v>5</v>
      </c>
    </row>
    <row r="369" spans="1:21" x14ac:dyDescent="0.25">
      <c r="A369" s="2" t="s">
        <v>754</v>
      </c>
      <c r="B369" s="2" t="s">
        <v>755</v>
      </c>
      <c r="C369" s="2" t="str">
        <f>TEXT(TransactionsTable500[[#This Row],[Order Date]],"mmm")</f>
        <v>Jun</v>
      </c>
      <c r="D369" s="2" t="s">
        <v>69</v>
      </c>
      <c r="E369" s="2" t="s">
        <v>70</v>
      </c>
      <c r="F369" s="2" t="s">
        <v>44</v>
      </c>
      <c r="G369" s="2" t="s">
        <v>71</v>
      </c>
      <c r="H369" s="2" t="s">
        <v>93</v>
      </c>
      <c r="I369" s="2" t="s">
        <v>65</v>
      </c>
      <c r="J369" s="2">
        <v>3</v>
      </c>
      <c r="K369" s="3">
        <v>3.69</v>
      </c>
      <c r="L369" s="3">
        <v>11.07</v>
      </c>
      <c r="M369" s="4">
        <v>0</v>
      </c>
      <c r="N369" s="3">
        <v>0</v>
      </c>
      <c r="O369" s="3">
        <v>11.07</v>
      </c>
      <c r="P369" s="3">
        <v>4.0999999999999996</v>
      </c>
      <c r="Q369" s="3">
        <v>6.97</v>
      </c>
      <c r="R369" s="2" t="s">
        <v>48</v>
      </c>
      <c r="S369" s="2" t="s">
        <v>29</v>
      </c>
      <c r="T369" s="2" t="s">
        <v>30</v>
      </c>
      <c r="U369" s="2">
        <v>5</v>
      </c>
    </row>
    <row r="370" spans="1:21" x14ac:dyDescent="0.25">
      <c r="A370" s="2" t="s">
        <v>756</v>
      </c>
      <c r="B370" s="2" t="s">
        <v>757</v>
      </c>
      <c r="C370" s="2" t="str">
        <f>TEXT(TransactionsTable500[[#This Row],[Order Date]],"mmm")</f>
        <v>Jun</v>
      </c>
      <c r="D370" s="2" t="s">
        <v>84</v>
      </c>
      <c r="E370" s="2" t="s">
        <v>61</v>
      </c>
      <c r="F370" s="2" t="s">
        <v>62</v>
      </c>
      <c r="G370" s="2" t="s">
        <v>85</v>
      </c>
      <c r="H370" s="2" t="s">
        <v>99</v>
      </c>
      <c r="I370" s="2" t="s">
        <v>100</v>
      </c>
      <c r="J370" s="2">
        <v>3</v>
      </c>
      <c r="K370" s="3">
        <v>4.6100000000000003</v>
      </c>
      <c r="L370" s="3">
        <v>13.83</v>
      </c>
      <c r="M370" s="4">
        <v>0</v>
      </c>
      <c r="N370" s="3">
        <v>0</v>
      </c>
      <c r="O370" s="3">
        <v>13.83</v>
      </c>
      <c r="P370" s="3">
        <v>5.56</v>
      </c>
      <c r="Q370" s="3">
        <v>8.27</v>
      </c>
      <c r="R370" s="2" t="s">
        <v>48</v>
      </c>
      <c r="S370" s="2" t="s">
        <v>66</v>
      </c>
      <c r="T370" s="2" t="s">
        <v>30</v>
      </c>
      <c r="U370" s="2">
        <v>3</v>
      </c>
    </row>
    <row r="371" spans="1:21" x14ac:dyDescent="0.25">
      <c r="A371" s="2" t="s">
        <v>758</v>
      </c>
      <c r="B371" s="2" t="s">
        <v>759</v>
      </c>
      <c r="C371" s="2" t="str">
        <f>TEXT(TransactionsTable500[[#This Row],[Order Date]],"mmm")</f>
        <v>Jun</v>
      </c>
      <c r="D371" s="2" t="s">
        <v>115</v>
      </c>
      <c r="E371" s="2" t="s">
        <v>70</v>
      </c>
      <c r="F371" s="2" t="s">
        <v>44</v>
      </c>
      <c r="G371" s="2" t="s">
        <v>76</v>
      </c>
      <c r="H371" s="2" t="s">
        <v>64</v>
      </c>
      <c r="I371" s="2" t="s">
        <v>65</v>
      </c>
      <c r="J371" s="2">
        <v>1</v>
      </c>
      <c r="K371" s="3">
        <v>2.59</v>
      </c>
      <c r="L371" s="3">
        <v>2.59</v>
      </c>
      <c r="M371" s="4">
        <v>0.05</v>
      </c>
      <c r="N371" s="3">
        <v>0.13</v>
      </c>
      <c r="O371" s="3">
        <v>2.46</v>
      </c>
      <c r="P371" s="3">
        <v>0.81</v>
      </c>
      <c r="Q371" s="3">
        <v>1.65</v>
      </c>
      <c r="R371" s="2" t="s">
        <v>48</v>
      </c>
      <c r="S371" s="2" t="s">
        <v>29</v>
      </c>
      <c r="T371" s="2" t="s">
        <v>30</v>
      </c>
      <c r="U371" s="2">
        <v>5</v>
      </c>
    </row>
    <row r="372" spans="1:21" x14ac:dyDescent="0.25">
      <c r="A372" s="2" t="s">
        <v>760</v>
      </c>
      <c r="B372" s="2" t="s">
        <v>761</v>
      </c>
      <c r="C372" s="2" t="str">
        <f>TEXT(TransactionsTable500[[#This Row],[Order Date]],"mmm")</f>
        <v>Jun</v>
      </c>
      <c r="D372" s="2" t="s">
        <v>139</v>
      </c>
      <c r="E372" s="2" t="s">
        <v>70</v>
      </c>
      <c r="F372" s="2" t="s">
        <v>44</v>
      </c>
      <c r="G372" s="2" t="s">
        <v>71</v>
      </c>
      <c r="H372" s="2" t="s">
        <v>112</v>
      </c>
      <c r="I372" s="2" t="s">
        <v>100</v>
      </c>
      <c r="J372" s="2">
        <v>1</v>
      </c>
      <c r="K372" s="3">
        <v>3.81</v>
      </c>
      <c r="L372" s="3">
        <v>3.81</v>
      </c>
      <c r="M372" s="4">
        <v>0</v>
      </c>
      <c r="N372" s="3">
        <v>0</v>
      </c>
      <c r="O372" s="3">
        <v>3.81</v>
      </c>
      <c r="P372" s="3">
        <v>1.42</v>
      </c>
      <c r="Q372" s="3">
        <v>2.39</v>
      </c>
      <c r="R372" s="2" t="s">
        <v>48</v>
      </c>
      <c r="S372" s="2" t="s">
        <v>36</v>
      </c>
      <c r="T372" s="2" t="s">
        <v>30</v>
      </c>
      <c r="U372" s="2">
        <v>5</v>
      </c>
    </row>
    <row r="373" spans="1:21" x14ac:dyDescent="0.25">
      <c r="A373" s="2" t="s">
        <v>762</v>
      </c>
      <c r="B373" s="2" t="s">
        <v>763</v>
      </c>
      <c r="C373" s="2" t="str">
        <f>TEXT(TransactionsTable500[[#This Row],[Order Date]],"mmm")</f>
        <v>Jun</v>
      </c>
      <c r="D373" s="2" t="s">
        <v>95</v>
      </c>
      <c r="E373" s="2" t="s">
        <v>23</v>
      </c>
      <c r="F373" s="2" t="s">
        <v>24</v>
      </c>
      <c r="G373" s="2" t="s">
        <v>52</v>
      </c>
      <c r="H373" s="2" t="s">
        <v>64</v>
      </c>
      <c r="I373" s="2" t="s">
        <v>65</v>
      </c>
      <c r="J373" s="2">
        <v>3</v>
      </c>
      <c r="K373" s="3">
        <v>2.4300000000000002</v>
      </c>
      <c r="L373" s="3">
        <v>7.29</v>
      </c>
      <c r="M373" s="4">
        <v>0.1</v>
      </c>
      <c r="N373" s="3">
        <v>0.73</v>
      </c>
      <c r="O373" s="3">
        <v>6.56</v>
      </c>
      <c r="P373" s="3">
        <v>2.39</v>
      </c>
      <c r="Q373" s="3">
        <v>4.17</v>
      </c>
      <c r="R373" s="2" t="s">
        <v>28</v>
      </c>
      <c r="S373" s="2" t="s">
        <v>29</v>
      </c>
      <c r="T373" s="2" t="s">
        <v>30</v>
      </c>
      <c r="U373" s="2">
        <v>5</v>
      </c>
    </row>
    <row r="374" spans="1:21" x14ac:dyDescent="0.25">
      <c r="A374" s="2" t="s">
        <v>764</v>
      </c>
      <c r="B374" s="2" t="s">
        <v>765</v>
      </c>
      <c r="C374" s="2" t="str">
        <f>TEXT(TransactionsTable500[[#This Row],[Order Date]],"mmm")</f>
        <v>Jun</v>
      </c>
      <c r="D374" s="2" t="s">
        <v>51</v>
      </c>
      <c r="E374" s="2" t="s">
        <v>23</v>
      </c>
      <c r="F374" s="2" t="s">
        <v>24</v>
      </c>
      <c r="G374" s="2" t="s">
        <v>52</v>
      </c>
      <c r="H374" s="2" t="s">
        <v>228</v>
      </c>
      <c r="I374" s="2" t="s">
        <v>65</v>
      </c>
      <c r="J374" s="2">
        <v>1</v>
      </c>
      <c r="K374" s="3">
        <v>3.28</v>
      </c>
      <c r="L374" s="3">
        <v>3.28</v>
      </c>
      <c r="M374" s="4">
        <v>0.05</v>
      </c>
      <c r="N374" s="3">
        <v>0.16</v>
      </c>
      <c r="O374" s="3">
        <v>3.12</v>
      </c>
      <c r="P374" s="3">
        <v>1</v>
      </c>
      <c r="Q374" s="3">
        <v>2.12</v>
      </c>
      <c r="R374" s="2" t="s">
        <v>48</v>
      </c>
      <c r="S374" s="2" t="s">
        <v>87</v>
      </c>
      <c r="T374" s="2" t="s">
        <v>90</v>
      </c>
      <c r="U374" s="2">
        <v>5</v>
      </c>
    </row>
    <row r="375" spans="1:21" x14ac:dyDescent="0.25">
      <c r="A375" s="2" t="s">
        <v>766</v>
      </c>
      <c r="B375" s="2" t="s">
        <v>765</v>
      </c>
      <c r="C375" s="2" t="str">
        <f>TEXT(TransactionsTable500[[#This Row],[Order Date]],"mmm")</f>
        <v>Jun</v>
      </c>
      <c r="D375" s="2" t="s">
        <v>221</v>
      </c>
      <c r="E375" s="2" t="s">
        <v>61</v>
      </c>
      <c r="F375" s="2" t="s">
        <v>62</v>
      </c>
      <c r="G375" s="2" t="s">
        <v>63</v>
      </c>
      <c r="H375" s="2" t="s">
        <v>77</v>
      </c>
      <c r="I375" s="2" t="s">
        <v>47</v>
      </c>
      <c r="J375" s="2">
        <v>1</v>
      </c>
      <c r="K375" s="3">
        <v>6.65</v>
      </c>
      <c r="L375" s="3">
        <v>6.65</v>
      </c>
      <c r="M375" s="4">
        <v>0.05</v>
      </c>
      <c r="N375" s="3">
        <v>0.33</v>
      </c>
      <c r="O375" s="3">
        <v>6.32</v>
      </c>
      <c r="P375" s="3">
        <v>2.12</v>
      </c>
      <c r="Q375" s="3">
        <v>4.2</v>
      </c>
      <c r="R375" s="2" t="s">
        <v>28</v>
      </c>
      <c r="S375" s="2" t="s">
        <v>66</v>
      </c>
      <c r="T375" s="2" t="s">
        <v>30</v>
      </c>
      <c r="U375" s="2">
        <v>4</v>
      </c>
    </row>
    <row r="376" spans="1:21" x14ac:dyDescent="0.25">
      <c r="A376" s="2" t="s">
        <v>767</v>
      </c>
      <c r="B376" s="2" t="s">
        <v>768</v>
      </c>
      <c r="C376" s="2" t="str">
        <f>TEXT(TransactionsTable500[[#This Row],[Order Date]],"mmm")</f>
        <v>Jun</v>
      </c>
      <c r="D376" s="2" t="s">
        <v>84</v>
      </c>
      <c r="E376" s="2" t="s">
        <v>61</v>
      </c>
      <c r="F376" s="2" t="s">
        <v>62</v>
      </c>
      <c r="G376" s="2" t="s">
        <v>85</v>
      </c>
      <c r="H376" s="2" t="s">
        <v>157</v>
      </c>
      <c r="I376" s="2" t="s">
        <v>47</v>
      </c>
      <c r="J376" s="2">
        <v>3</v>
      </c>
      <c r="K376" s="3">
        <v>7.75</v>
      </c>
      <c r="L376" s="3">
        <v>23.25</v>
      </c>
      <c r="M376" s="4">
        <v>0</v>
      </c>
      <c r="N376" s="3">
        <v>0</v>
      </c>
      <c r="O376" s="3">
        <v>23.25</v>
      </c>
      <c r="P376" s="3">
        <v>9.39</v>
      </c>
      <c r="Q376" s="3">
        <v>13.86</v>
      </c>
      <c r="R376" s="2" t="s">
        <v>48</v>
      </c>
      <c r="S376" s="2" t="s">
        <v>66</v>
      </c>
      <c r="T376" s="2" t="s">
        <v>30</v>
      </c>
      <c r="U376" s="2">
        <v>4</v>
      </c>
    </row>
    <row r="377" spans="1:21" x14ac:dyDescent="0.25">
      <c r="A377" s="2" t="s">
        <v>769</v>
      </c>
      <c r="B377" s="2" t="s">
        <v>770</v>
      </c>
      <c r="C377" s="2" t="str">
        <f>TEXT(TransactionsTable500[[#This Row],[Order Date]],"mmm")</f>
        <v>Jun</v>
      </c>
      <c r="D377" s="2" t="s">
        <v>212</v>
      </c>
      <c r="E377" s="2" t="s">
        <v>184</v>
      </c>
      <c r="F377" s="2" t="s">
        <v>62</v>
      </c>
      <c r="G377" s="2" t="s">
        <v>213</v>
      </c>
      <c r="H377" s="2" t="s">
        <v>169</v>
      </c>
      <c r="I377" s="2" t="s">
        <v>65</v>
      </c>
      <c r="J377" s="2">
        <v>2</v>
      </c>
      <c r="K377" s="3">
        <v>3.21</v>
      </c>
      <c r="L377" s="3">
        <v>6.42</v>
      </c>
      <c r="M377" s="4">
        <v>0</v>
      </c>
      <c r="N377" s="3">
        <v>0</v>
      </c>
      <c r="O377" s="3">
        <v>6.42</v>
      </c>
      <c r="P377" s="3">
        <v>2.2599999999999998</v>
      </c>
      <c r="Q377" s="3">
        <v>4.16</v>
      </c>
      <c r="R377" s="2" t="s">
        <v>96</v>
      </c>
      <c r="S377" s="2" t="s">
        <v>36</v>
      </c>
      <c r="T377" s="2" t="s">
        <v>90</v>
      </c>
      <c r="U377" s="2">
        <v>3</v>
      </c>
    </row>
    <row r="378" spans="1:21" x14ac:dyDescent="0.25">
      <c r="A378" s="2" t="s">
        <v>771</v>
      </c>
      <c r="B378" s="2" t="s">
        <v>772</v>
      </c>
      <c r="C378" s="2" t="str">
        <f>TEXT(TransactionsTable500[[#This Row],[Order Date]],"mmm")</f>
        <v>Jun</v>
      </c>
      <c r="D378" s="2" t="s">
        <v>221</v>
      </c>
      <c r="E378" s="2" t="s">
        <v>61</v>
      </c>
      <c r="F378" s="2" t="s">
        <v>62</v>
      </c>
      <c r="G378" s="2" t="s">
        <v>63</v>
      </c>
      <c r="H378" s="2" t="s">
        <v>77</v>
      </c>
      <c r="I378" s="2" t="s">
        <v>47</v>
      </c>
      <c r="J378" s="2">
        <v>1</v>
      </c>
      <c r="K378" s="3">
        <v>6.68</v>
      </c>
      <c r="L378" s="3">
        <v>6.68</v>
      </c>
      <c r="M378" s="4">
        <v>0</v>
      </c>
      <c r="N378" s="3">
        <v>0</v>
      </c>
      <c r="O378" s="3">
        <v>6.68</v>
      </c>
      <c r="P378" s="3">
        <v>2.46</v>
      </c>
      <c r="Q378" s="3">
        <v>4.22</v>
      </c>
      <c r="R378" s="2" t="s">
        <v>28</v>
      </c>
      <c r="S378" s="2" t="s">
        <v>87</v>
      </c>
      <c r="T378" s="2" t="s">
        <v>90</v>
      </c>
      <c r="U378" s="2">
        <v>5</v>
      </c>
    </row>
    <row r="379" spans="1:21" x14ac:dyDescent="0.25">
      <c r="A379" s="2" t="s">
        <v>773</v>
      </c>
      <c r="B379" s="2" t="s">
        <v>774</v>
      </c>
      <c r="C379" s="2" t="str">
        <f>TEXT(TransactionsTable500[[#This Row],[Order Date]],"mmm")</f>
        <v>Jul</v>
      </c>
      <c r="D379" s="2" t="s">
        <v>221</v>
      </c>
      <c r="E379" s="2" t="s">
        <v>61</v>
      </c>
      <c r="F379" s="2" t="s">
        <v>62</v>
      </c>
      <c r="G379" s="2" t="s">
        <v>63</v>
      </c>
      <c r="H379" s="2" t="s">
        <v>46</v>
      </c>
      <c r="I379" s="2" t="s">
        <v>47</v>
      </c>
      <c r="J379" s="2">
        <v>5</v>
      </c>
      <c r="K379" s="3">
        <v>7.8</v>
      </c>
      <c r="L379" s="3">
        <v>39</v>
      </c>
      <c r="M379" s="4">
        <v>0</v>
      </c>
      <c r="N379" s="3">
        <v>0</v>
      </c>
      <c r="O379" s="3">
        <v>39</v>
      </c>
      <c r="P379" s="3">
        <v>14.55</v>
      </c>
      <c r="Q379" s="3">
        <v>24.45</v>
      </c>
      <c r="R379" s="2" t="s">
        <v>28</v>
      </c>
      <c r="S379" s="2" t="s">
        <v>87</v>
      </c>
      <c r="T379" s="2" t="s">
        <v>90</v>
      </c>
      <c r="U379" s="2">
        <v>5</v>
      </c>
    </row>
    <row r="380" spans="1:21" x14ac:dyDescent="0.25">
      <c r="A380" s="2" t="s">
        <v>775</v>
      </c>
      <c r="B380" s="2" t="s">
        <v>776</v>
      </c>
      <c r="C380" s="2" t="str">
        <f>TEXT(TransactionsTable500[[#This Row],[Order Date]],"mmm")</f>
        <v>Jul</v>
      </c>
      <c r="D380" s="2" t="s">
        <v>199</v>
      </c>
      <c r="E380" s="2" t="s">
        <v>70</v>
      </c>
      <c r="F380" s="2" t="s">
        <v>44</v>
      </c>
      <c r="G380" s="2" t="s">
        <v>200</v>
      </c>
      <c r="H380" s="2" t="s">
        <v>106</v>
      </c>
      <c r="I380" s="2" t="s">
        <v>100</v>
      </c>
      <c r="J380" s="2">
        <v>1</v>
      </c>
      <c r="K380" s="3">
        <v>3.53</v>
      </c>
      <c r="L380" s="3">
        <v>3.53</v>
      </c>
      <c r="M380" s="4">
        <v>0</v>
      </c>
      <c r="N380" s="3">
        <v>0</v>
      </c>
      <c r="O380" s="3">
        <v>3.53</v>
      </c>
      <c r="P380" s="3">
        <v>1.38</v>
      </c>
      <c r="Q380" s="3">
        <v>2.15</v>
      </c>
      <c r="R380" s="2" t="s">
        <v>48</v>
      </c>
      <c r="S380" s="2" t="s">
        <v>36</v>
      </c>
      <c r="T380" s="2" t="s">
        <v>30</v>
      </c>
      <c r="U380" s="2">
        <v>5</v>
      </c>
    </row>
    <row r="381" spans="1:21" x14ac:dyDescent="0.25">
      <c r="A381" s="2" t="s">
        <v>777</v>
      </c>
      <c r="B381" s="2" t="s">
        <v>778</v>
      </c>
      <c r="C381" s="2" t="str">
        <f>TEXT(TransactionsTable500[[#This Row],[Order Date]],"mmm")</f>
        <v>Jul</v>
      </c>
      <c r="D381" s="2" t="s">
        <v>127</v>
      </c>
      <c r="E381" s="2" t="s">
        <v>23</v>
      </c>
      <c r="F381" s="2" t="s">
        <v>24</v>
      </c>
      <c r="G381" s="2" t="s">
        <v>25</v>
      </c>
      <c r="H381" s="2" t="s">
        <v>203</v>
      </c>
      <c r="I381" s="2" t="s">
        <v>100</v>
      </c>
      <c r="J381" s="2">
        <v>1</v>
      </c>
      <c r="K381" s="3">
        <v>4.08</v>
      </c>
      <c r="L381" s="3">
        <v>4.08</v>
      </c>
      <c r="M381" s="4">
        <v>0.15</v>
      </c>
      <c r="N381" s="3">
        <v>0.61</v>
      </c>
      <c r="O381" s="3">
        <v>3.47</v>
      </c>
      <c r="P381" s="3">
        <v>1.42</v>
      </c>
      <c r="Q381" s="3">
        <v>2.0499999999999998</v>
      </c>
      <c r="R381" s="2" t="s">
        <v>96</v>
      </c>
      <c r="S381" s="2" t="s">
        <v>29</v>
      </c>
      <c r="T381" s="2" t="s">
        <v>30</v>
      </c>
      <c r="U381" s="2">
        <v>5</v>
      </c>
    </row>
    <row r="382" spans="1:21" x14ac:dyDescent="0.25">
      <c r="A382" s="2" t="s">
        <v>779</v>
      </c>
      <c r="B382" s="2" t="s">
        <v>780</v>
      </c>
      <c r="C382" s="2" t="str">
        <f>TEXT(TransactionsTable500[[#This Row],[Order Date]],"mmm")</f>
        <v>Jul</v>
      </c>
      <c r="D382" s="2" t="s">
        <v>133</v>
      </c>
      <c r="E382" s="2" t="s">
        <v>119</v>
      </c>
      <c r="F382" s="2" t="s">
        <v>24</v>
      </c>
      <c r="G382" s="2" t="s">
        <v>134</v>
      </c>
      <c r="H382" s="2" t="s">
        <v>93</v>
      </c>
      <c r="I382" s="2" t="s">
        <v>65</v>
      </c>
      <c r="J382" s="2">
        <v>1</v>
      </c>
      <c r="K382" s="3">
        <v>3.69</v>
      </c>
      <c r="L382" s="3">
        <v>3.69</v>
      </c>
      <c r="M382" s="4">
        <v>0</v>
      </c>
      <c r="N382" s="3">
        <v>0</v>
      </c>
      <c r="O382" s="3">
        <v>3.69</v>
      </c>
      <c r="P382" s="3">
        <v>1.44</v>
      </c>
      <c r="Q382" s="3">
        <v>2.25</v>
      </c>
      <c r="R382" s="2" t="s">
        <v>28</v>
      </c>
      <c r="S382" s="2" t="s">
        <v>29</v>
      </c>
      <c r="T382" s="2" t="s">
        <v>90</v>
      </c>
      <c r="U382" s="2">
        <v>4</v>
      </c>
    </row>
    <row r="383" spans="1:21" x14ac:dyDescent="0.25">
      <c r="A383" s="2" t="s">
        <v>781</v>
      </c>
      <c r="B383" s="2" t="s">
        <v>780</v>
      </c>
      <c r="C383" s="2" t="str">
        <f>TEXT(TransactionsTable500[[#This Row],[Order Date]],"mmm")</f>
        <v>Jul</v>
      </c>
      <c r="D383" s="2" t="s">
        <v>60</v>
      </c>
      <c r="E383" s="2" t="s">
        <v>61</v>
      </c>
      <c r="F383" s="2" t="s">
        <v>62</v>
      </c>
      <c r="G383" s="2" t="s">
        <v>63</v>
      </c>
      <c r="H383" s="2" t="s">
        <v>122</v>
      </c>
      <c r="I383" s="2" t="s">
        <v>47</v>
      </c>
      <c r="J383" s="2">
        <v>1</v>
      </c>
      <c r="K383" s="3">
        <v>6.83</v>
      </c>
      <c r="L383" s="3">
        <v>6.83</v>
      </c>
      <c r="M383" s="4">
        <v>0</v>
      </c>
      <c r="N383" s="3">
        <v>0</v>
      </c>
      <c r="O383" s="3">
        <v>6.83</v>
      </c>
      <c r="P383" s="3">
        <v>2.69</v>
      </c>
      <c r="Q383" s="3">
        <v>4.1399999999999997</v>
      </c>
      <c r="R383" s="2" t="s">
        <v>48</v>
      </c>
      <c r="S383" s="2" t="s">
        <v>66</v>
      </c>
      <c r="T383" s="2" t="s">
        <v>37</v>
      </c>
      <c r="U383" s="2">
        <v>5</v>
      </c>
    </row>
    <row r="384" spans="1:21" x14ac:dyDescent="0.25">
      <c r="A384" s="2" t="s">
        <v>782</v>
      </c>
      <c r="B384" s="2" t="s">
        <v>783</v>
      </c>
      <c r="C384" s="2" t="str">
        <f>TEXT(TransactionsTable500[[#This Row],[Order Date]],"mmm")</f>
        <v>Jul</v>
      </c>
      <c r="D384" s="2" t="s">
        <v>32</v>
      </c>
      <c r="E384" s="2" t="s">
        <v>33</v>
      </c>
      <c r="F384" s="2" t="s">
        <v>34</v>
      </c>
      <c r="G384" s="2" t="s">
        <v>35</v>
      </c>
      <c r="H384" s="2" t="s">
        <v>106</v>
      </c>
      <c r="I384" s="2" t="s">
        <v>100</v>
      </c>
      <c r="J384" s="2">
        <v>1</v>
      </c>
      <c r="K384" s="3">
        <v>3.41</v>
      </c>
      <c r="L384" s="3">
        <v>3.41</v>
      </c>
      <c r="M384" s="4">
        <v>0</v>
      </c>
      <c r="N384" s="3">
        <v>0</v>
      </c>
      <c r="O384" s="3">
        <v>3.41</v>
      </c>
      <c r="P384" s="3">
        <v>1.34</v>
      </c>
      <c r="Q384" s="3">
        <v>2.0699999999999998</v>
      </c>
      <c r="R384" s="2" t="s">
        <v>48</v>
      </c>
      <c r="S384" s="2" t="s">
        <v>87</v>
      </c>
      <c r="T384" s="2" t="s">
        <v>90</v>
      </c>
      <c r="U384" s="2">
        <v>4</v>
      </c>
    </row>
    <row r="385" spans="1:21" x14ac:dyDescent="0.25">
      <c r="A385" s="2" t="s">
        <v>784</v>
      </c>
      <c r="B385" s="2" t="s">
        <v>785</v>
      </c>
      <c r="C385" s="2" t="str">
        <f>TEXT(TransactionsTable500[[#This Row],[Order Date]],"mmm")</f>
        <v>Jul</v>
      </c>
      <c r="D385" s="2" t="s">
        <v>95</v>
      </c>
      <c r="E385" s="2" t="s">
        <v>23</v>
      </c>
      <c r="F385" s="2" t="s">
        <v>24</v>
      </c>
      <c r="G385" s="2" t="s">
        <v>52</v>
      </c>
      <c r="H385" s="2" t="s">
        <v>64</v>
      </c>
      <c r="I385" s="2" t="s">
        <v>65</v>
      </c>
      <c r="J385" s="2">
        <v>2</v>
      </c>
      <c r="K385" s="3">
        <v>2.41</v>
      </c>
      <c r="L385" s="3">
        <v>4.82</v>
      </c>
      <c r="M385" s="4">
        <v>0.05</v>
      </c>
      <c r="N385" s="3">
        <v>0.24</v>
      </c>
      <c r="O385" s="3">
        <v>4.58</v>
      </c>
      <c r="P385" s="3">
        <v>1.6</v>
      </c>
      <c r="Q385" s="3">
        <v>2.98</v>
      </c>
      <c r="R385" s="2" t="s">
        <v>28</v>
      </c>
      <c r="S385" s="2" t="s">
        <v>29</v>
      </c>
      <c r="T385" s="2" t="s">
        <v>30</v>
      </c>
      <c r="U385" s="2">
        <v>2</v>
      </c>
    </row>
    <row r="386" spans="1:21" x14ac:dyDescent="0.25">
      <c r="A386" s="2" t="s">
        <v>786</v>
      </c>
      <c r="B386" s="2" t="s">
        <v>785</v>
      </c>
      <c r="C386" s="2" t="str">
        <f>TEXT(TransactionsTable500[[#This Row],[Order Date]],"mmm")</f>
        <v>Jul</v>
      </c>
      <c r="D386" s="2" t="s">
        <v>177</v>
      </c>
      <c r="E386" s="2" t="s">
        <v>43</v>
      </c>
      <c r="F386" s="2" t="s">
        <v>44</v>
      </c>
      <c r="G386" s="2" t="s">
        <v>45</v>
      </c>
      <c r="H386" s="2" t="s">
        <v>103</v>
      </c>
      <c r="I386" s="2" t="s">
        <v>27</v>
      </c>
      <c r="J386" s="2">
        <v>2</v>
      </c>
      <c r="K386" s="3">
        <v>4.99</v>
      </c>
      <c r="L386" s="3">
        <v>9.98</v>
      </c>
      <c r="M386" s="4">
        <v>0</v>
      </c>
      <c r="N386" s="3">
        <v>0</v>
      </c>
      <c r="O386" s="3">
        <v>9.98</v>
      </c>
      <c r="P386" s="3">
        <v>3.35</v>
      </c>
      <c r="Q386" s="3">
        <v>6.63</v>
      </c>
      <c r="R386" s="2" t="s">
        <v>96</v>
      </c>
      <c r="S386" s="2" t="s">
        <v>29</v>
      </c>
      <c r="T386" s="2" t="s">
        <v>30</v>
      </c>
      <c r="U386" s="2">
        <v>1</v>
      </c>
    </row>
    <row r="387" spans="1:21" x14ac:dyDescent="0.25">
      <c r="A387" s="2" t="s">
        <v>787</v>
      </c>
      <c r="B387" s="2" t="s">
        <v>788</v>
      </c>
      <c r="C387" s="2" t="str">
        <f>TEXT(TransactionsTable500[[#This Row],[Order Date]],"mmm")</f>
        <v>Jul</v>
      </c>
      <c r="D387" s="2" t="s">
        <v>133</v>
      </c>
      <c r="E387" s="2" t="s">
        <v>119</v>
      </c>
      <c r="F387" s="2" t="s">
        <v>24</v>
      </c>
      <c r="G387" s="2" t="s">
        <v>134</v>
      </c>
      <c r="H387" s="2" t="s">
        <v>77</v>
      </c>
      <c r="I387" s="2" t="s">
        <v>47</v>
      </c>
      <c r="J387" s="2">
        <v>1</v>
      </c>
      <c r="K387" s="3">
        <v>6.66</v>
      </c>
      <c r="L387" s="3">
        <v>6.66</v>
      </c>
      <c r="M387" s="4">
        <v>0.05</v>
      </c>
      <c r="N387" s="3">
        <v>0.33</v>
      </c>
      <c r="O387" s="3">
        <v>6.33</v>
      </c>
      <c r="P387" s="3">
        <v>2.3199999999999998</v>
      </c>
      <c r="Q387" s="3">
        <v>4.01</v>
      </c>
      <c r="R387" s="2" t="s">
        <v>28</v>
      </c>
      <c r="S387" s="2" t="s">
        <v>87</v>
      </c>
      <c r="T387" s="2" t="s">
        <v>30</v>
      </c>
      <c r="U387" s="2">
        <v>4</v>
      </c>
    </row>
    <row r="388" spans="1:21" x14ac:dyDescent="0.25">
      <c r="A388" s="2" t="s">
        <v>789</v>
      </c>
      <c r="B388" s="2" t="s">
        <v>790</v>
      </c>
      <c r="C388" s="2" t="str">
        <f>TEXT(TransactionsTable500[[#This Row],[Order Date]],"mmm")</f>
        <v>Jul</v>
      </c>
      <c r="D388" s="2" t="s">
        <v>75</v>
      </c>
      <c r="E388" s="2" t="s">
        <v>70</v>
      </c>
      <c r="F388" s="2" t="s">
        <v>44</v>
      </c>
      <c r="G388" s="2" t="s">
        <v>76</v>
      </c>
      <c r="H388" s="2" t="s">
        <v>86</v>
      </c>
      <c r="I388" s="2" t="s">
        <v>27</v>
      </c>
      <c r="J388" s="2">
        <v>2</v>
      </c>
      <c r="K388" s="3">
        <v>4.45</v>
      </c>
      <c r="L388" s="3">
        <v>8.9</v>
      </c>
      <c r="M388" s="4">
        <v>0</v>
      </c>
      <c r="N388" s="3">
        <v>0</v>
      </c>
      <c r="O388" s="3">
        <v>8.9</v>
      </c>
      <c r="P388" s="3">
        <v>3.42</v>
      </c>
      <c r="Q388" s="3">
        <v>5.48</v>
      </c>
      <c r="R388" s="2" t="s">
        <v>28</v>
      </c>
      <c r="S388" s="2" t="s">
        <v>29</v>
      </c>
      <c r="T388" s="2" t="s">
        <v>37</v>
      </c>
      <c r="U388" s="2">
        <v>5</v>
      </c>
    </row>
    <row r="389" spans="1:21" x14ac:dyDescent="0.25">
      <c r="A389" s="2" t="s">
        <v>791</v>
      </c>
      <c r="B389" s="2" t="s">
        <v>792</v>
      </c>
      <c r="C389" s="2" t="str">
        <f>TEXT(TransactionsTable500[[#This Row],[Order Date]],"mmm")</f>
        <v>Jul</v>
      </c>
      <c r="D389" s="2" t="s">
        <v>32</v>
      </c>
      <c r="E389" s="2" t="s">
        <v>33</v>
      </c>
      <c r="F389" s="2" t="s">
        <v>34</v>
      </c>
      <c r="G389" s="2" t="s">
        <v>35</v>
      </c>
      <c r="H389" s="2" t="s">
        <v>46</v>
      </c>
      <c r="I389" s="2" t="s">
        <v>47</v>
      </c>
      <c r="J389" s="2">
        <v>1</v>
      </c>
      <c r="K389" s="3">
        <v>8.33</v>
      </c>
      <c r="L389" s="3">
        <v>8.33</v>
      </c>
      <c r="M389" s="4">
        <v>0.15</v>
      </c>
      <c r="N389" s="3">
        <v>1.25</v>
      </c>
      <c r="O389" s="3">
        <v>7.08</v>
      </c>
      <c r="P389" s="3">
        <v>2.89</v>
      </c>
      <c r="Q389" s="3">
        <v>4.1900000000000004</v>
      </c>
      <c r="R389" s="2" t="s">
        <v>48</v>
      </c>
      <c r="S389" s="2" t="s">
        <v>66</v>
      </c>
      <c r="T389" s="2" t="s">
        <v>30</v>
      </c>
      <c r="U389" s="2">
        <v>3</v>
      </c>
    </row>
    <row r="390" spans="1:21" x14ac:dyDescent="0.25">
      <c r="A390" s="2" t="s">
        <v>793</v>
      </c>
      <c r="B390" s="2" t="s">
        <v>794</v>
      </c>
      <c r="C390" s="2" t="str">
        <f>TEXT(TransactionsTable500[[#This Row],[Order Date]],"mmm")</f>
        <v>Jul</v>
      </c>
      <c r="D390" s="2" t="s">
        <v>177</v>
      </c>
      <c r="E390" s="2" t="s">
        <v>43</v>
      </c>
      <c r="F390" s="2" t="s">
        <v>44</v>
      </c>
      <c r="G390" s="2" t="s">
        <v>45</v>
      </c>
      <c r="H390" s="2" t="s">
        <v>169</v>
      </c>
      <c r="I390" s="2" t="s">
        <v>65</v>
      </c>
      <c r="J390" s="2">
        <v>1</v>
      </c>
      <c r="K390" s="3">
        <v>3.16</v>
      </c>
      <c r="L390" s="3">
        <v>3.16</v>
      </c>
      <c r="M390" s="4">
        <v>0</v>
      </c>
      <c r="N390" s="3">
        <v>0</v>
      </c>
      <c r="O390" s="3">
        <v>3.16</v>
      </c>
      <c r="P390" s="3">
        <v>1.29</v>
      </c>
      <c r="Q390" s="3">
        <v>1.87</v>
      </c>
      <c r="R390" s="2" t="s">
        <v>28</v>
      </c>
      <c r="S390" s="2" t="s">
        <v>29</v>
      </c>
      <c r="T390" s="2" t="s">
        <v>30</v>
      </c>
      <c r="U390" s="2">
        <v>4</v>
      </c>
    </row>
    <row r="391" spans="1:21" x14ac:dyDescent="0.25">
      <c r="A391" s="2" t="s">
        <v>795</v>
      </c>
      <c r="B391" s="2" t="s">
        <v>794</v>
      </c>
      <c r="C391" s="2" t="str">
        <f>TEXT(TransactionsTable500[[#This Row],[Order Date]],"mmm")</f>
        <v>Jul</v>
      </c>
      <c r="D391" s="2" t="s">
        <v>69</v>
      </c>
      <c r="E391" s="2" t="s">
        <v>70</v>
      </c>
      <c r="F391" s="2" t="s">
        <v>44</v>
      </c>
      <c r="G391" s="2" t="s">
        <v>71</v>
      </c>
      <c r="H391" s="2" t="s">
        <v>93</v>
      </c>
      <c r="I391" s="2" t="s">
        <v>65</v>
      </c>
      <c r="J391" s="2">
        <v>1</v>
      </c>
      <c r="K391" s="3">
        <v>3.59</v>
      </c>
      <c r="L391" s="3">
        <v>3.59</v>
      </c>
      <c r="M391" s="4">
        <v>0.05</v>
      </c>
      <c r="N391" s="3">
        <v>0.18</v>
      </c>
      <c r="O391" s="3">
        <v>3.41</v>
      </c>
      <c r="P391" s="3">
        <v>1.34</v>
      </c>
      <c r="Q391" s="3">
        <v>2.0699999999999998</v>
      </c>
      <c r="R391" s="2" t="s">
        <v>48</v>
      </c>
      <c r="S391" s="2" t="s">
        <v>66</v>
      </c>
      <c r="T391" s="2" t="s">
        <v>30</v>
      </c>
      <c r="U391" s="2">
        <v>4</v>
      </c>
    </row>
    <row r="392" spans="1:21" x14ac:dyDescent="0.25">
      <c r="A392" s="2" t="s">
        <v>796</v>
      </c>
      <c r="B392" s="2" t="s">
        <v>797</v>
      </c>
      <c r="C392" s="2" t="str">
        <f>TEXT(TransactionsTable500[[#This Row],[Order Date]],"mmm")</f>
        <v>Jul</v>
      </c>
      <c r="D392" s="2" t="s">
        <v>199</v>
      </c>
      <c r="E392" s="2" t="s">
        <v>70</v>
      </c>
      <c r="F392" s="2" t="s">
        <v>44</v>
      </c>
      <c r="G392" s="2" t="s">
        <v>200</v>
      </c>
      <c r="H392" s="2" t="s">
        <v>169</v>
      </c>
      <c r="I392" s="2" t="s">
        <v>65</v>
      </c>
      <c r="J392" s="2">
        <v>4</v>
      </c>
      <c r="K392" s="3">
        <v>3.23</v>
      </c>
      <c r="L392" s="3">
        <v>12.92</v>
      </c>
      <c r="M392" s="4">
        <v>0</v>
      </c>
      <c r="N392" s="3">
        <v>0</v>
      </c>
      <c r="O392" s="3">
        <v>12.92</v>
      </c>
      <c r="P392" s="3">
        <v>4.6399999999999997</v>
      </c>
      <c r="Q392" s="3">
        <v>8.2799999999999994</v>
      </c>
      <c r="R392" s="2" t="s">
        <v>48</v>
      </c>
      <c r="S392" s="2" t="s">
        <v>66</v>
      </c>
      <c r="T392" s="2" t="s">
        <v>37</v>
      </c>
      <c r="U392" s="2">
        <v>5</v>
      </c>
    </row>
    <row r="393" spans="1:21" x14ac:dyDescent="0.25">
      <c r="A393" s="2" t="s">
        <v>798</v>
      </c>
      <c r="B393" s="2" t="s">
        <v>799</v>
      </c>
      <c r="C393" s="2" t="str">
        <f>TEXT(TransactionsTable500[[#This Row],[Order Date]],"mmm")</f>
        <v>Jul</v>
      </c>
      <c r="D393" s="2" t="s">
        <v>60</v>
      </c>
      <c r="E393" s="2" t="s">
        <v>61</v>
      </c>
      <c r="F393" s="2" t="s">
        <v>62</v>
      </c>
      <c r="G393" s="2" t="s">
        <v>63</v>
      </c>
      <c r="H393" s="2" t="s">
        <v>57</v>
      </c>
      <c r="I393" s="2" t="s">
        <v>58</v>
      </c>
      <c r="J393" s="2">
        <v>1</v>
      </c>
      <c r="K393" s="3">
        <v>9.1</v>
      </c>
      <c r="L393" s="3">
        <v>9.1</v>
      </c>
      <c r="M393" s="4">
        <v>0</v>
      </c>
      <c r="N393" s="3">
        <v>0</v>
      </c>
      <c r="O393" s="3">
        <v>9.1</v>
      </c>
      <c r="P393" s="3">
        <v>3.24</v>
      </c>
      <c r="Q393" s="3">
        <v>5.86</v>
      </c>
      <c r="R393" s="2" t="s">
        <v>48</v>
      </c>
      <c r="S393" s="2" t="s">
        <v>36</v>
      </c>
      <c r="T393" s="2" t="s">
        <v>30</v>
      </c>
      <c r="U393" s="2">
        <v>5</v>
      </c>
    </row>
    <row r="394" spans="1:21" x14ac:dyDescent="0.25">
      <c r="A394" s="2" t="s">
        <v>800</v>
      </c>
      <c r="B394" s="2" t="s">
        <v>799</v>
      </c>
      <c r="C394" s="2" t="str">
        <f>TEXT(TransactionsTable500[[#This Row],[Order Date]],"mmm")</f>
        <v>Jul</v>
      </c>
      <c r="D394" s="2" t="s">
        <v>199</v>
      </c>
      <c r="E394" s="2" t="s">
        <v>70</v>
      </c>
      <c r="F394" s="2" t="s">
        <v>44</v>
      </c>
      <c r="G394" s="2" t="s">
        <v>200</v>
      </c>
      <c r="H394" s="2" t="s">
        <v>86</v>
      </c>
      <c r="I394" s="2" t="s">
        <v>27</v>
      </c>
      <c r="J394" s="2">
        <v>1</v>
      </c>
      <c r="K394" s="3">
        <v>4.4000000000000004</v>
      </c>
      <c r="L394" s="3">
        <v>4.4000000000000004</v>
      </c>
      <c r="M394" s="4">
        <v>0</v>
      </c>
      <c r="N394" s="3">
        <v>0</v>
      </c>
      <c r="O394" s="3">
        <v>4.4000000000000004</v>
      </c>
      <c r="P394" s="3">
        <v>1.68</v>
      </c>
      <c r="Q394" s="3">
        <v>2.72</v>
      </c>
      <c r="R394" s="2" t="s">
        <v>48</v>
      </c>
      <c r="S394" s="2" t="s">
        <v>29</v>
      </c>
      <c r="T394" s="2" t="s">
        <v>90</v>
      </c>
      <c r="U394" s="2">
        <v>5</v>
      </c>
    </row>
    <row r="395" spans="1:21" x14ac:dyDescent="0.25">
      <c r="A395" s="2" t="s">
        <v>801</v>
      </c>
      <c r="B395" s="2" t="s">
        <v>802</v>
      </c>
      <c r="C395" s="2" t="str">
        <f>TEXT(TransactionsTable500[[#This Row],[Order Date]],"mmm")</f>
        <v>Jul</v>
      </c>
      <c r="D395" s="2" t="s">
        <v>115</v>
      </c>
      <c r="E395" s="2" t="s">
        <v>70</v>
      </c>
      <c r="F395" s="2" t="s">
        <v>44</v>
      </c>
      <c r="G395" s="2" t="s">
        <v>76</v>
      </c>
      <c r="H395" s="2" t="s">
        <v>106</v>
      </c>
      <c r="I395" s="2" t="s">
        <v>100</v>
      </c>
      <c r="J395" s="2">
        <v>1</v>
      </c>
      <c r="K395" s="3">
        <v>3.45</v>
      </c>
      <c r="L395" s="3">
        <v>3.45</v>
      </c>
      <c r="M395" s="4">
        <v>0</v>
      </c>
      <c r="N395" s="3">
        <v>0</v>
      </c>
      <c r="O395" s="3">
        <v>3.45</v>
      </c>
      <c r="P395" s="3">
        <v>1.32</v>
      </c>
      <c r="Q395" s="3">
        <v>2.13</v>
      </c>
      <c r="R395" s="2" t="s">
        <v>48</v>
      </c>
      <c r="S395" s="2" t="s">
        <v>66</v>
      </c>
      <c r="T395" s="2" t="s">
        <v>30</v>
      </c>
      <c r="U395" s="2">
        <v>5</v>
      </c>
    </row>
    <row r="396" spans="1:21" x14ac:dyDescent="0.25">
      <c r="A396" s="2" t="s">
        <v>803</v>
      </c>
      <c r="B396" s="2" t="s">
        <v>802</v>
      </c>
      <c r="C396" s="2" t="str">
        <f>TEXT(TransactionsTable500[[#This Row],[Order Date]],"mmm")</f>
        <v>Jul</v>
      </c>
      <c r="D396" s="2" t="s">
        <v>84</v>
      </c>
      <c r="E396" s="2" t="s">
        <v>61</v>
      </c>
      <c r="F396" s="2" t="s">
        <v>62</v>
      </c>
      <c r="G396" s="2" t="s">
        <v>85</v>
      </c>
      <c r="H396" s="2" t="s">
        <v>77</v>
      </c>
      <c r="I396" s="2" t="s">
        <v>47</v>
      </c>
      <c r="J396" s="2">
        <v>1</v>
      </c>
      <c r="K396" s="3">
        <v>6.21</v>
      </c>
      <c r="L396" s="3">
        <v>6.21</v>
      </c>
      <c r="M396" s="4">
        <v>0</v>
      </c>
      <c r="N396" s="3">
        <v>0</v>
      </c>
      <c r="O396" s="3">
        <v>6.21</v>
      </c>
      <c r="P396" s="3">
        <v>2.3199999999999998</v>
      </c>
      <c r="Q396" s="3">
        <v>3.89</v>
      </c>
      <c r="R396" s="2" t="s">
        <v>28</v>
      </c>
      <c r="S396" s="2" t="s">
        <v>36</v>
      </c>
      <c r="T396" s="2" t="s">
        <v>30</v>
      </c>
      <c r="U396" s="2">
        <v>4</v>
      </c>
    </row>
    <row r="397" spans="1:21" x14ac:dyDescent="0.25">
      <c r="A397" s="2" t="s">
        <v>804</v>
      </c>
      <c r="B397" s="2" t="s">
        <v>805</v>
      </c>
      <c r="C397" s="2" t="str">
        <f>TEXT(TransactionsTable500[[#This Row],[Order Date]],"mmm")</f>
        <v>Jul</v>
      </c>
      <c r="D397" s="2" t="s">
        <v>105</v>
      </c>
      <c r="E397" s="2" t="s">
        <v>61</v>
      </c>
      <c r="F397" s="2" t="s">
        <v>62</v>
      </c>
      <c r="G397" s="2" t="s">
        <v>85</v>
      </c>
      <c r="H397" s="2" t="s">
        <v>99</v>
      </c>
      <c r="I397" s="2" t="s">
        <v>100</v>
      </c>
      <c r="J397" s="2">
        <v>4</v>
      </c>
      <c r="K397" s="3">
        <v>4.5199999999999996</v>
      </c>
      <c r="L397" s="3">
        <v>18.079999999999998</v>
      </c>
      <c r="M397" s="4">
        <v>0</v>
      </c>
      <c r="N397" s="3">
        <v>0</v>
      </c>
      <c r="O397" s="3">
        <v>18.079999999999998</v>
      </c>
      <c r="P397" s="3">
        <v>7.14</v>
      </c>
      <c r="Q397" s="3">
        <v>10.94</v>
      </c>
      <c r="R397" s="2" t="s">
        <v>28</v>
      </c>
      <c r="S397" s="2" t="s">
        <v>87</v>
      </c>
      <c r="T397" s="2" t="s">
        <v>90</v>
      </c>
      <c r="U397" s="2">
        <v>3</v>
      </c>
    </row>
    <row r="398" spans="1:21" x14ac:dyDescent="0.25">
      <c r="A398" s="2" t="s">
        <v>806</v>
      </c>
      <c r="B398" s="2" t="s">
        <v>807</v>
      </c>
      <c r="C398" s="2" t="str">
        <f>TEXT(TransactionsTable500[[#This Row],[Order Date]],"mmm")</f>
        <v>Jul</v>
      </c>
      <c r="D398" s="2" t="s">
        <v>165</v>
      </c>
      <c r="E398" s="2" t="s">
        <v>61</v>
      </c>
      <c r="F398" s="2" t="s">
        <v>62</v>
      </c>
      <c r="G398" s="2" t="s">
        <v>130</v>
      </c>
      <c r="H398" s="2" t="s">
        <v>93</v>
      </c>
      <c r="I398" s="2" t="s">
        <v>65</v>
      </c>
      <c r="J398" s="2">
        <v>1</v>
      </c>
      <c r="K398" s="3">
        <v>3.71</v>
      </c>
      <c r="L398" s="3">
        <v>3.71</v>
      </c>
      <c r="M398" s="4">
        <v>0</v>
      </c>
      <c r="N398" s="3">
        <v>0</v>
      </c>
      <c r="O398" s="3">
        <v>3.71</v>
      </c>
      <c r="P398" s="3">
        <v>1.26</v>
      </c>
      <c r="Q398" s="3">
        <v>2.4500000000000002</v>
      </c>
      <c r="R398" s="2" t="s">
        <v>28</v>
      </c>
      <c r="S398" s="2" t="s">
        <v>29</v>
      </c>
      <c r="T398" s="2" t="s">
        <v>37</v>
      </c>
      <c r="U398" s="2">
        <v>5</v>
      </c>
    </row>
    <row r="399" spans="1:21" x14ac:dyDescent="0.25">
      <c r="A399" s="2" t="s">
        <v>808</v>
      </c>
      <c r="B399" s="2" t="s">
        <v>807</v>
      </c>
      <c r="C399" s="2" t="str">
        <f>TEXT(TransactionsTable500[[#This Row],[Order Date]],"mmm")</f>
        <v>Jul</v>
      </c>
      <c r="D399" s="2" t="s">
        <v>165</v>
      </c>
      <c r="E399" s="2" t="s">
        <v>61</v>
      </c>
      <c r="F399" s="2" t="s">
        <v>62</v>
      </c>
      <c r="G399" s="2" t="s">
        <v>130</v>
      </c>
      <c r="H399" s="2" t="s">
        <v>231</v>
      </c>
      <c r="I399" s="2" t="s">
        <v>100</v>
      </c>
      <c r="J399" s="2">
        <v>1</v>
      </c>
      <c r="K399" s="3">
        <v>4.8499999999999996</v>
      </c>
      <c r="L399" s="3">
        <v>4.8499999999999996</v>
      </c>
      <c r="M399" s="4">
        <v>0</v>
      </c>
      <c r="N399" s="3">
        <v>0</v>
      </c>
      <c r="O399" s="3">
        <v>4.8499999999999996</v>
      </c>
      <c r="P399" s="3">
        <v>2.0099999999999998</v>
      </c>
      <c r="Q399" s="3">
        <v>2.84</v>
      </c>
      <c r="R399" s="2" t="s">
        <v>96</v>
      </c>
      <c r="S399" s="2" t="s">
        <v>29</v>
      </c>
      <c r="T399" s="2" t="s">
        <v>30</v>
      </c>
      <c r="U399" s="2">
        <v>4</v>
      </c>
    </row>
    <row r="400" spans="1:21" x14ac:dyDescent="0.25">
      <c r="A400" s="2" t="s">
        <v>809</v>
      </c>
      <c r="B400" s="2" t="s">
        <v>807</v>
      </c>
      <c r="C400" s="2" t="str">
        <f>TEXT(TransactionsTable500[[#This Row],[Order Date]],"mmm")</f>
        <v>Jul</v>
      </c>
      <c r="D400" s="2" t="s">
        <v>42</v>
      </c>
      <c r="E400" s="2" t="s">
        <v>43</v>
      </c>
      <c r="F400" s="2" t="s">
        <v>44</v>
      </c>
      <c r="G400" s="2" t="s">
        <v>45</v>
      </c>
      <c r="H400" s="2" t="s">
        <v>99</v>
      </c>
      <c r="I400" s="2" t="s">
        <v>100</v>
      </c>
      <c r="J400" s="2">
        <v>2</v>
      </c>
      <c r="K400" s="3">
        <v>4.3</v>
      </c>
      <c r="L400" s="3">
        <v>8.6</v>
      </c>
      <c r="M400" s="4">
        <v>0</v>
      </c>
      <c r="N400" s="3">
        <v>0</v>
      </c>
      <c r="O400" s="3">
        <v>8.6</v>
      </c>
      <c r="P400" s="3">
        <v>3.56</v>
      </c>
      <c r="Q400" s="3">
        <v>5.04</v>
      </c>
      <c r="R400" s="2" t="s">
        <v>96</v>
      </c>
      <c r="S400" s="2" t="s">
        <v>66</v>
      </c>
      <c r="T400" s="2" t="s">
        <v>37</v>
      </c>
      <c r="U400" s="2">
        <v>4</v>
      </c>
    </row>
    <row r="401" spans="1:21" x14ac:dyDescent="0.25">
      <c r="A401" s="2" t="s">
        <v>810</v>
      </c>
      <c r="B401" s="2" t="s">
        <v>811</v>
      </c>
      <c r="C401" s="2" t="str">
        <f>TEXT(TransactionsTable500[[#This Row],[Order Date]],"mmm")</f>
        <v>Jul</v>
      </c>
      <c r="D401" s="2" t="s">
        <v>270</v>
      </c>
      <c r="E401" s="2" t="s">
        <v>70</v>
      </c>
      <c r="F401" s="2" t="s">
        <v>44</v>
      </c>
      <c r="G401" s="2" t="s">
        <v>200</v>
      </c>
      <c r="H401" s="2" t="s">
        <v>57</v>
      </c>
      <c r="I401" s="2" t="s">
        <v>58</v>
      </c>
      <c r="J401" s="2">
        <v>1</v>
      </c>
      <c r="K401" s="3">
        <v>8.74</v>
      </c>
      <c r="L401" s="3">
        <v>8.74</v>
      </c>
      <c r="M401" s="4">
        <v>0</v>
      </c>
      <c r="N401" s="3">
        <v>0</v>
      </c>
      <c r="O401" s="3">
        <v>8.74</v>
      </c>
      <c r="P401" s="3">
        <v>2.84</v>
      </c>
      <c r="Q401" s="3">
        <v>5.9</v>
      </c>
      <c r="R401" s="2" t="s">
        <v>48</v>
      </c>
      <c r="S401" s="2" t="s">
        <v>66</v>
      </c>
      <c r="T401" s="2" t="s">
        <v>30</v>
      </c>
      <c r="U401" s="2">
        <v>2</v>
      </c>
    </row>
    <row r="402" spans="1:21" x14ac:dyDescent="0.25">
      <c r="A402" s="2" t="s">
        <v>812</v>
      </c>
      <c r="B402" s="2" t="s">
        <v>813</v>
      </c>
      <c r="C402" s="2" t="str">
        <f>TEXT(TransactionsTable500[[#This Row],[Order Date]],"mmm")</f>
        <v>Jul</v>
      </c>
      <c r="D402" s="2" t="s">
        <v>60</v>
      </c>
      <c r="E402" s="2" t="s">
        <v>61</v>
      </c>
      <c r="F402" s="2" t="s">
        <v>62</v>
      </c>
      <c r="G402" s="2" t="s">
        <v>63</v>
      </c>
      <c r="H402" s="2" t="s">
        <v>157</v>
      </c>
      <c r="I402" s="2" t="s">
        <v>47</v>
      </c>
      <c r="J402" s="2">
        <v>1</v>
      </c>
      <c r="K402" s="3">
        <v>7.74</v>
      </c>
      <c r="L402" s="3">
        <v>7.74</v>
      </c>
      <c r="M402" s="4">
        <v>0</v>
      </c>
      <c r="N402" s="3">
        <v>0</v>
      </c>
      <c r="O402" s="3">
        <v>7.74</v>
      </c>
      <c r="P402" s="3">
        <v>3.16</v>
      </c>
      <c r="Q402" s="3">
        <v>4.58</v>
      </c>
      <c r="R402" s="2" t="s">
        <v>48</v>
      </c>
      <c r="S402" s="2" t="s">
        <v>29</v>
      </c>
      <c r="T402" s="2" t="s">
        <v>37</v>
      </c>
      <c r="U402" s="2">
        <v>5</v>
      </c>
    </row>
    <row r="403" spans="1:21" x14ac:dyDescent="0.25">
      <c r="A403" s="2" t="s">
        <v>814</v>
      </c>
      <c r="B403" s="2" t="s">
        <v>815</v>
      </c>
      <c r="C403" s="2" t="str">
        <f>TEXT(TransactionsTable500[[#This Row],[Order Date]],"mmm")</f>
        <v>Jul</v>
      </c>
      <c r="D403" s="2" t="s">
        <v>183</v>
      </c>
      <c r="E403" s="2" t="s">
        <v>184</v>
      </c>
      <c r="F403" s="2" t="s">
        <v>62</v>
      </c>
      <c r="G403" s="2" t="s">
        <v>185</v>
      </c>
      <c r="H403" s="2" t="s">
        <v>46</v>
      </c>
      <c r="I403" s="2" t="s">
        <v>47</v>
      </c>
      <c r="J403" s="2">
        <v>2</v>
      </c>
      <c r="K403" s="3">
        <v>8.35</v>
      </c>
      <c r="L403" s="3">
        <v>16.7</v>
      </c>
      <c r="M403" s="4">
        <v>0.05</v>
      </c>
      <c r="N403" s="3">
        <v>0.84</v>
      </c>
      <c r="O403" s="3">
        <v>15.86</v>
      </c>
      <c r="P403" s="3">
        <v>5.3</v>
      </c>
      <c r="Q403" s="3">
        <v>10.56</v>
      </c>
      <c r="R403" s="2" t="s">
        <v>96</v>
      </c>
      <c r="S403" s="2" t="s">
        <v>87</v>
      </c>
      <c r="T403" s="2" t="s">
        <v>30</v>
      </c>
      <c r="U403" s="2">
        <v>4</v>
      </c>
    </row>
    <row r="404" spans="1:21" x14ac:dyDescent="0.25">
      <c r="A404" s="2" t="s">
        <v>816</v>
      </c>
      <c r="B404" s="2" t="s">
        <v>817</v>
      </c>
      <c r="C404" s="2" t="str">
        <f>TEXT(TransactionsTable500[[#This Row],[Order Date]],"mmm")</f>
        <v>Aug</v>
      </c>
      <c r="D404" s="2" t="s">
        <v>55</v>
      </c>
      <c r="E404" s="2" t="s">
        <v>43</v>
      </c>
      <c r="F404" s="2" t="s">
        <v>44</v>
      </c>
      <c r="G404" s="2" t="s">
        <v>56</v>
      </c>
      <c r="H404" s="2" t="s">
        <v>53</v>
      </c>
      <c r="I404" s="2" t="s">
        <v>27</v>
      </c>
      <c r="J404" s="2">
        <v>3</v>
      </c>
      <c r="K404" s="3">
        <v>3.84</v>
      </c>
      <c r="L404" s="3">
        <v>11.52</v>
      </c>
      <c r="M404" s="4">
        <v>0</v>
      </c>
      <c r="N404" s="3">
        <v>0</v>
      </c>
      <c r="O404" s="3">
        <v>11.52</v>
      </c>
      <c r="P404" s="3">
        <v>4.33</v>
      </c>
      <c r="Q404" s="3">
        <v>7.19</v>
      </c>
      <c r="R404" s="2" t="s">
        <v>96</v>
      </c>
      <c r="S404" s="2" t="s">
        <v>87</v>
      </c>
      <c r="T404" s="2" t="s">
        <v>30</v>
      </c>
      <c r="U404" s="2">
        <v>5</v>
      </c>
    </row>
    <row r="405" spans="1:21" x14ac:dyDescent="0.25">
      <c r="A405" s="2" t="s">
        <v>818</v>
      </c>
      <c r="B405" s="2" t="s">
        <v>817</v>
      </c>
      <c r="C405" s="2" t="str">
        <f>TEXT(TransactionsTable500[[#This Row],[Order Date]],"mmm")</f>
        <v>Aug</v>
      </c>
      <c r="D405" s="2" t="s">
        <v>84</v>
      </c>
      <c r="E405" s="2" t="s">
        <v>61</v>
      </c>
      <c r="F405" s="2" t="s">
        <v>62</v>
      </c>
      <c r="G405" s="2" t="s">
        <v>85</v>
      </c>
      <c r="H405" s="2" t="s">
        <v>169</v>
      </c>
      <c r="I405" s="2" t="s">
        <v>65</v>
      </c>
      <c r="J405" s="2">
        <v>4</v>
      </c>
      <c r="K405" s="3">
        <v>3.09</v>
      </c>
      <c r="L405" s="3">
        <v>12.36</v>
      </c>
      <c r="M405" s="4">
        <v>0</v>
      </c>
      <c r="N405" s="3">
        <v>0</v>
      </c>
      <c r="O405" s="3">
        <v>12.36</v>
      </c>
      <c r="P405" s="3">
        <v>4.53</v>
      </c>
      <c r="Q405" s="3">
        <v>7.83</v>
      </c>
      <c r="R405" s="2" t="s">
        <v>28</v>
      </c>
      <c r="S405" s="2" t="s">
        <v>66</v>
      </c>
      <c r="T405" s="2" t="s">
        <v>37</v>
      </c>
      <c r="U405" s="2">
        <v>3</v>
      </c>
    </row>
    <row r="406" spans="1:21" x14ac:dyDescent="0.25">
      <c r="A406" s="2" t="s">
        <v>819</v>
      </c>
      <c r="B406" s="2" t="s">
        <v>820</v>
      </c>
      <c r="C406" s="2" t="str">
        <f>TEXT(TransactionsTable500[[#This Row],[Order Date]],"mmm")</f>
        <v>Aug</v>
      </c>
      <c r="D406" s="2" t="s">
        <v>129</v>
      </c>
      <c r="E406" s="2" t="s">
        <v>61</v>
      </c>
      <c r="F406" s="2" t="s">
        <v>62</v>
      </c>
      <c r="G406" s="2" t="s">
        <v>130</v>
      </c>
      <c r="H406" s="2" t="s">
        <v>112</v>
      </c>
      <c r="I406" s="2" t="s">
        <v>100</v>
      </c>
      <c r="J406" s="2">
        <v>2</v>
      </c>
      <c r="K406" s="3">
        <v>3.87</v>
      </c>
      <c r="L406" s="3">
        <v>7.74</v>
      </c>
      <c r="M406" s="4">
        <v>0</v>
      </c>
      <c r="N406" s="3">
        <v>0</v>
      </c>
      <c r="O406" s="3">
        <v>7.74</v>
      </c>
      <c r="P406" s="3">
        <v>3.02</v>
      </c>
      <c r="Q406" s="3">
        <v>4.72</v>
      </c>
      <c r="R406" s="2" t="s">
        <v>48</v>
      </c>
      <c r="S406" s="2" t="s">
        <v>29</v>
      </c>
      <c r="T406" s="2" t="s">
        <v>30</v>
      </c>
      <c r="U406" s="2">
        <v>3</v>
      </c>
    </row>
    <row r="407" spans="1:21" x14ac:dyDescent="0.25">
      <c r="A407" s="2" t="s">
        <v>821</v>
      </c>
      <c r="B407" s="2" t="s">
        <v>820</v>
      </c>
      <c r="C407" s="2" t="str">
        <f>TEXT(TransactionsTable500[[#This Row],[Order Date]],"mmm")</f>
        <v>Aug</v>
      </c>
      <c r="D407" s="2" t="s">
        <v>118</v>
      </c>
      <c r="E407" s="2" t="s">
        <v>119</v>
      </c>
      <c r="F407" s="2" t="s">
        <v>24</v>
      </c>
      <c r="G407" s="2" t="s">
        <v>120</v>
      </c>
      <c r="H407" s="2" t="s">
        <v>26</v>
      </c>
      <c r="I407" s="2" t="s">
        <v>27</v>
      </c>
      <c r="J407" s="2">
        <v>1</v>
      </c>
      <c r="K407" s="3">
        <v>4.97</v>
      </c>
      <c r="L407" s="3">
        <v>4.97</v>
      </c>
      <c r="M407" s="4">
        <v>0</v>
      </c>
      <c r="N407" s="3">
        <v>0</v>
      </c>
      <c r="O407" s="3">
        <v>4.97</v>
      </c>
      <c r="P407" s="3">
        <v>1.78</v>
      </c>
      <c r="Q407" s="3">
        <v>3.19</v>
      </c>
      <c r="R407" s="2" t="s">
        <v>28</v>
      </c>
      <c r="S407" s="2" t="s">
        <v>36</v>
      </c>
      <c r="T407" s="2" t="s">
        <v>30</v>
      </c>
      <c r="U407" s="2">
        <v>1</v>
      </c>
    </row>
    <row r="408" spans="1:21" x14ac:dyDescent="0.25">
      <c r="A408" s="2" t="s">
        <v>822</v>
      </c>
      <c r="B408" s="2" t="s">
        <v>820</v>
      </c>
      <c r="C408" s="2" t="str">
        <f>TEXT(TransactionsTable500[[#This Row],[Order Date]],"mmm")</f>
        <v>Aug</v>
      </c>
      <c r="D408" s="2" t="s">
        <v>109</v>
      </c>
      <c r="E408" s="2" t="s">
        <v>33</v>
      </c>
      <c r="F408" s="2" t="s">
        <v>34</v>
      </c>
      <c r="G408" s="2" t="s">
        <v>110</v>
      </c>
      <c r="H408" s="2" t="s">
        <v>64</v>
      </c>
      <c r="I408" s="2" t="s">
        <v>65</v>
      </c>
      <c r="J408" s="2">
        <v>1</v>
      </c>
      <c r="K408" s="3">
        <v>2.59</v>
      </c>
      <c r="L408" s="3">
        <v>2.59</v>
      </c>
      <c r="M408" s="4">
        <v>0</v>
      </c>
      <c r="N408" s="3">
        <v>0</v>
      </c>
      <c r="O408" s="3">
        <v>2.59</v>
      </c>
      <c r="P408" s="3">
        <v>0.94</v>
      </c>
      <c r="Q408" s="3">
        <v>1.65</v>
      </c>
      <c r="R408" s="2" t="s">
        <v>28</v>
      </c>
      <c r="S408" s="2" t="s">
        <v>66</v>
      </c>
      <c r="T408" s="2" t="s">
        <v>30</v>
      </c>
      <c r="U408" s="2">
        <v>4</v>
      </c>
    </row>
    <row r="409" spans="1:21" x14ac:dyDescent="0.25">
      <c r="A409" s="2" t="s">
        <v>823</v>
      </c>
      <c r="B409" s="2" t="s">
        <v>824</v>
      </c>
      <c r="C409" s="2" t="str">
        <f>TEXT(TransactionsTable500[[#This Row],[Order Date]],"mmm")</f>
        <v>Aug</v>
      </c>
      <c r="D409" s="2" t="s">
        <v>155</v>
      </c>
      <c r="E409" s="2" t="s">
        <v>61</v>
      </c>
      <c r="F409" s="2" t="s">
        <v>62</v>
      </c>
      <c r="G409" s="2" t="s">
        <v>156</v>
      </c>
      <c r="H409" s="2" t="s">
        <v>157</v>
      </c>
      <c r="I409" s="2" t="s">
        <v>47</v>
      </c>
      <c r="J409" s="2">
        <v>1</v>
      </c>
      <c r="K409" s="3">
        <v>8.11</v>
      </c>
      <c r="L409" s="3">
        <v>8.11</v>
      </c>
      <c r="M409" s="4">
        <v>0.05</v>
      </c>
      <c r="N409" s="3">
        <v>0.41</v>
      </c>
      <c r="O409" s="3">
        <v>7.7</v>
      </c>
      <c r="P409" s="3">
        <v>2.78</v>
      </c>
      <c r="Q409" s="3">
        <v>4.92</v>
      </c>
      <c r="R409" s="2" t="s">
        <v>48</v>
      </c>
      <c r="S409" s="2" t="s">
        <v>66</v>
      </c>
      <c r="T409" s="2" t="s">
        <v>30</v>
      </c>
      <c r="U409" s="2">
        <v>5</v>
      </c>
    </row>
    <row r="410" spans="1:21" x14ac:dyDescent="0.25">
      <c r="A410" s="2" t="s">
        <v>825</v>
      </c>
      <c r="B410" s="2" t="s">
        <v>826</v>
      </c>
      <c r="C410" s="2" t="str">
        <f>TEXT(TransactionsTable500[[#This Row],[Order Date]],"mmm")</f>
        <v>Aug</v>
      </c>
      <c r="D410" s="2" t="s">
        <v>60</v>
      </c>
      <c r="E410" s="2" t="s">
        <v>61</v>
      </c>
      <c r="F410" s="2" t="s">
        <v>62</v>
      </c>
      <c r="G410" s="2" t="s">
        <v>63</v>
      </c>
      <c r="H410" s="2" t="s">
        <v>140</v>
      </c>
      <c r="I410" s="2" t="s">
        <v>58</v>
      </c>
      <c r="J410" s="2">
        <v>1</v>
      </c>
      <c r="K410" s="3">
        <v>12.72</v>
      </c>
      <c r="L410" s="3">
        <v>12.72</v>
      </c>
      <c r="M410" s="4">
        <v>0</v>
      </c>
      <c r="N410" s="3">
        <v>0</v>
      </c>
      <c r="O410" s="3">
        <v>12.72</v>
      </c>
      <c r="P410" s="3">
        <v>4.49</v>
      </c>
      <c r="Q410" s="3">
        <v>8.23</v>
      </c>
      <c r="R410" s="2" t="s">
        <v>28</v>
      </c>
      <c r="S410" s="2" t="s">
        <v>29</v>
      </c>
      <c r="T410" s="2" t="s">
        <v>30</v>
      </c>
      <c r="U410" s="2">
        <v>4</v>
      </c>
    </row>
    <row r="411" spans="1:21" x14ac:dyDescent="0.25">
      <c r="A411" s="2" t="s">
        <v>827</v>
      </c>
      <c r="B411" s="2" t="s">
        <v>826</v>
      </c>
      <c r="C411" s="2" t="str">
        <f>TEXT(TransactionsTable500[[#This Row],[Order Date]],"mmm")</f>
        <v>Aug</v>
      </c>
      <c r="D411" s="2" t="s">
        <v>22</v>
      </c>
      <c r="E411" s="2" t="s">
        <v>23</v>
      </c>
      <c r="F411" s="2" t="s">
        <v>24</v>
      </c>
      <c r="G411" s="2" t="s">
        <v>25</v>
      </c>
      <c r="H411" s="2" t="s">
        <v>93</v>
      </c>
      <c r="I411" s="2" t="s">
        <v>65</v>
      </c>
      <c r="J411" s="2">
        <v>2</v>
      </c>
      <c r="K411" s="3">
        <v>3.52</v>
      </c>
      <c r="L411" s="3">
        <v>7.04</v>
      </c>
      <c r="M411" s="4">
        <v>0</v>
      </c>
      <c r="N411" s="3">
        <v>0</v>
      </c>
      <c r="O411" s="3">
        <v>7.04</v>
      </c>
      <c r="P411" s="3">
        <v>2.79</v>
      </c>
      <c r="Q411" s="3">
        <v>4.25</v>
      </c>
      <c r="R411" s="2" t="s">
        <v>28</v>
      </c>
      <c r="S411" s="2" t="s">
        <v>66</v>
      </c>
      <c r="T411" s="2" t="s">
        <v>30</v>
      </c>
      <c r="U411" s="2">
        <v>4</v>
      </c>
    </row>
    <row r="412" spans="1:21" x14ac:dyDescent="0.25">
      <c r="A412" s="2" t="s">
        <v>828</v>
      </c>
      <c r="B412" s="2" t="s">
        <v>829</v>
      </c>
      <c r="C412" s="2" t="str">
        <f>TEXT(TransactionsTable500[[#This Row],[Order Date]],"mmm")</f>
        <v>Aug</v>
      </c>
      <c r="D412" s="2" t="s">
        <v>95</v>
      </c>
      <c r="E412" s="2" t="s">
        <v>23</v>
      </c>
      <c r="F412" s="2" t="s">
        <v>24</v>
      </c>
      <c r="G412" s="2" t="s">
        <v>52</v>
      </c>
      <c r="H412" s="2" t="s">
        <v>93</v>
      </c>
      <c r="I412" s="2" t="s">
        <v>65</v>
      </c>
      <c r="J412" s="2">
        <v>3</v>
      </c>
      <c r="K412" s="3">
        <v>3.73</v>
      </c>
      <c r="L412" s="3">
        <v>11.19</v>
      </c>
      <c r="M412" s="4">
        <v>0.1</v>
      </c>
      <c r="N412" s="3">
        <v>1.1200000000000001</v>
      </c>
      <c r="O412" s="3">
        <v>10.07</v>
      </c>
      <c r="P412" s="3">
        <v>3.72</v>
      </c>
      <c r="Q412" s="3">
        <v>6.35</v>
      </c>
      <c r="R412" s="2" t="s">
        <v>96</v>
      </c>
      <c r="S412" s="2" t="s">
        <v>29</v>
      </c>
      <c r="T412" s="2" t="s">
        <v>30</v>
      </c>
      <c r="U412" s="2">
        <v>5</v>
      </c>
    </row>
    <row r="413" spans="1:21" x14ac:dyDescent="0.25">
      <c r="A413" s="2" t="s">
        <v>830</v>
      </c>
      <c r="B413" s="2" t="s">
        <v>831</v>
      </c>
      <c r="C413" s="2" t="str">
        <f>TEXT(TransactionsTable500[[#This Row],[Order Date]],"mmm")</f>
        <v>Aug</v>
      </c>
      <c r="D413" s="2" t="s">
        <v>221</v>
      </c>
      <c r="E413" s="2" t="s">
        <v>61</v>
      </c>
      <c r="F413" s="2" t="s">
        <v>62</v>
      </c>
      <c r="G413" s="2" t="s">
        <v>63</v>
      </c>
      <c r="H413" s="2" t="s">
        <v>103</v>
      </c>
      <c r="I413" s="2" t="s">
        <v>27</v>
      </c>
      <c r="J413" s="2">
        <v>5</v>
      </c>
      <c r="K413" s="3">
        <v>4.7300000000000004</v>
      </c>
      <c r="L413" s="3">
        <v>23.65</v>
      </c>
      <c r="M413" s="4">
        <v>0</v>
      </c>
      <c r="N413" s="3">
        <v>0</v>
      </c>
      <c r="O413" s="3">
        <v>23.65</v>
      </c>
      <c r="P413" s="3">
        <v>9.19</v>
      </c>
      <c r="Q413" s="3">
        <v>14.46</v>
      </c>
      <c r="R413" s="2" t="s">
        <v>48</v>
      </c>
      <c r="S413" s="2" t="s">
        <v>36</v>
      </c>
      <c r="T413" s="2" t="s">
        <v>30</v>
      </c>
      <c r="U413" s="2">
        <v>4</v>
      </c>
    </row>
    <row r="414" spans="1:21" x14ac:dyDescent="0.25">
      <c r="A414" s="2" t="s">
        <v>832</v>
      </c>
      <c r="B414" s="2" t="s">
        <v>831</v>
      </c>
      <c r="C414" s="2" t="str">
        <f>TEXT(TransactionsTable500[[#This Row],[Order Date]],"mmm")</f>
        <v>Aug</v>
      </c>
      <c r="D414" s="2" t="s">
        <v>40</v>
      </c>
      <c r="E414" s="2" t="s">
        <v>33</v>
      </c>
      <c r="F414" s="2" t="s">
        <v>34</v>
      </c>
      <c r="G414" s="2" t="s">
        <v>35</v>
      </c>
      <c r="H414" s="2" t="s">
        <v>112</v>
      </c>
      <c r="I414" s="2" t="s">
        <v>100</v>
      </c>
      <c r="J414" s="2">
        <v>1</v>
      </c>
      <c r="K414" s="3">
        <v>3.81</v>
      </c>
      <c r="L414" s="3">
        <v>3.81</v>
      </c>
      <c r="M414" s="4">
        <v>0</v>
      </c>
      <c r="N414" s="3">
        <v>0</v>
      </c>
      <c r="O414" s="3">
        <v>3.81</v>
      </c>
      <c r="P414" s="3">
        <v>1.55</v>
      </c>
      <c r="Q414" s="3">
        <v>2.2599999999999998</v>
      </c>
      <c r="R414" s="2" t="s">
        <v>28</v>
      </c>
      <c r="S414" s="2" t="s">
        <v>29</v>
      </c>
      <c r="T414" s="2" t="s">
        <v>37</v>
      </c>
      <c r="U414" s="2">
        <v>3</v>
      </c>
    </row>
    <row r="415" spans="1:21" x14ac:dyDescent="0.25">
      <c r="A415" s="2" t="s">
        <v>833</v>
      </c>
      <c r="B415" s="2" t="s">
        <v>834</v>
      </c>
      <c r="C415" s="2" t="str">
        <f>TEXT(TransactionsTable500[[#This Row],[Order Date]],"mmm")</f>
        <v>Aug</v>
      </c>
      <c r="D415" s="2" t="s">
        <v>115</v>
      </c>
      <c r="E415" s="2" t="s">
        <v>70</v>
      </c>
      <c r="F415" s="2" t="s">
        <v>44</v>
      </c>
      <c r="G415" s="2" t="s">
        <v>76</v>
      </c>
      <c r="H415" s="2" t="s">
        <v>228</v>
      </c>
      <c r="I415" s="2" t="s">
        <v>65</v>
      </c>
      <c r="J415" s="2">
        <v>1</v>
      </c>
      <c r="K415" s="3">
        <v>3.41</v>
      </c>
      <c r="L415" s="3">
        <v>3.41</v>
      </c>
      <c r="M415" s="4">
        <v>0</v>
      </c>
      <c r="N415" s="3">
        <v>0</v>
      </c>
      <c r="O415" s="3">
        <v>3.41</v>
      </c>
      <c r="P415" s="3">
        <v>1.1499999999999999</v>
      </c>
      <c r="Q415" s="3">
        <v>2.2599999999999998</v>
      </c>
      <c r="R415" s="2" t="s">
        <v>28</v>
      </c>
      <c r="S415" s="2" t="s">
        <v>29</v>
      </c>
      <c r="T415" s="2" t="s">
        <v>30</v>
      </c>
      <c r="U415" s="2">
        <v>4</v>
      </c>
    </row>
    <row r="416" spans="1:21" x14ac:dyDescent="0.25">
      <c r="A416" s="2" t="s">
        <v>835</v>
      </c>
      <c r="B416" s="2" t="s">
        <v>836</v>
      </c>
      <c r="C416" s="2" t="str">
        <f>TEXT(TransactionsTable500[[#This Row],[Order Date]],"mmm")</f>
        <v>Aug</v>
      </c>
      <c r="D416" s="2" t="s">
        <v>118</v>
      </c>
      <c r="E416" s="2" t="s">
        <v>119</v>
      </c>
      <c r="F416" s="2" t="s">
        <v>24</v>
      </c>
      <c r="G416" s="2" t="s">
        <v>120</v>
      </c>
      <c r="H416" s="2" t="s">
        <v>53</v>
      </c>
      <c r="I416" s="2" t="s">
        <v>27</v>
      </c>
      <c r="J416" s="2">
        <v>1</v>
      </c>
      <c r="K416" s="3">
        <v>4.09</v>
      </c>
      <c r="L416" s="3">
        <v>4.09</v>
      </c>
      <c r="M416" s="4">
        <v>0</v>
      </c>
      <c r="N416" s="3">
        <v>0</v>
      </c>
      <c r="O416" s="3">
        <v>4.09</v>
      </c>
      <c r="P416" s="3">
        <v>1.34</v>
      </c>
      <c r="Q416" s="3">
        <v>2.75</v>
      </c>
      <c r="R416" s="2" t="s">
        <v>48</v>
      </c>
      <c r="S416" s="2" t="s">
        <v>36</v>
      </c>
      <c r="T416" s="2" t="s">
        <v>30</v>
      </c>
      <c r="U416" s="2">
        <v>5</v>
      </c>
    </row>
    <row r="417" spans="1:21" x14ac:dyDescent="0.25">
      <c r="A417" s="2" t="s">
        <v>837</v>
      </c>
      <c r="B417" s="2" t="s">
        <v>838</v>
      </c>
      <c r="C417" s="2" t="str">
        <f>TEXT(TransactionsTable500[[#This Row],[Order Date]],"mmm")</f>
        <v>Aug</v>
      </c>
      <c r="D417" s="2" t="s">
        <v>127</v>
      </c>
      <c r="E417" s="2" t="s">
        <v>23</v>
      </c>
      <c r="F417" s="2" t="s">
        <v>24</v>
      </c>
      <c r="G417" s="2" t="s">
        <v>25</v>
      </c>
      <c r="H417" s="2" t="s">
        <v>72</v>
      </c>
      <c r="I417" s="2" t="s">
        <v>58</v>
      </c>
      <c r="J417" s="2">
        <v>2</v>
      </c>
      <c r="K417" s="3">
        <v>14.64</v>
      </c>
      <c r="L417" s="3">
        <v>29.28</v>
      </c>
      <c r="M417" s="4">
        <v>0.05</v>
      </c>
      <c r="N417" s="3">
        <v>1.46</v>
      </c>
      <c r="O417" s="3">
        <v>27.82</v>
      </c>
      <c r="P417" s="3">
        <v>10.61</v>
      </c>
      <c r="Q417" s="3">
        <v>17.21</v>
      </c>
      <c r="R417" s="2" t="s">
        <v>28</v>
      </c>
      <c r="S417" s="2" t="s">
        <v>66</v>
      </c>
      <c r="T417" s="2" t="s">
        <v>30</v>
      </c>
      <c r="U417" s="2">
        <v>5</v>
      </c>
    </row>
    <row r="418" spans="1:21" x14ac:dyDescent="0.25">
      <c r="A418" s="2" t="s">
        <v>839</v>
      </c>
      <c r="B418" s="2" t="s">
        <v>838</v>
      </c>
      <c r="C418" s="2" t="str">
        <f>TEXT(TransactionsTable500[[#This Row],[Order Date]],"mmm")</f>
        <v>Aug</v>
      </c>
      <c r="D418" s="2" t="s">
        <v>60</v>
      </c>
      <c r="E418" s="2" t="s">
        <v>61</v>
      </c>
      <c r="F418" s="2" t="s">
        <v>62</v>
      </c>
      <c r="G418" s="2" t="s">
        <v>63</v>
      </c>
      <c r="H418" s="2" t="s">
        <v>57</v>
      </c>
      <c r="I418" s="2" t="s">
        <v>58</v>
      </c>
      <c r="J418" s="2">
        <v>1</v>
      </c>
      <c r="K418" s="3">
        <v>8.77</v>
      </c>
      <c r="L418" s="3">
        <v>8.77</v>
      </c>
      <c r="M418" s="4">
        <v>0</v>
      </c>
      <c r="N418" s="3">
        <v>0</v>
      </c>
      <c r="O418" s="3">
        <v>8.77</v>
      </c>
      <c r="P418" s="3">
        <v>3.09</v>
      </c>
      <c r="Q418" s="3">
        <v>5.68</v>
      </c>
      <c r="R418" s="2" t="s">
        <v>28</v>
      </c>
      <c r="S418" s="2" t="s">
        <v>29</v>
      </c>
      <c r="T418" s="2" t="s">
        <v>30</v>
      </c>
      <c r="U418" s="2">
        <v>5</v>
      </c>
    </row>
    <row r="419" spans="1:21" x14ac:dyDescent="0.25">
      <c r="A419" s="2" t="s">
        <v>840</v>
      </c>
      <c r="B419" s="2" t="s">
        <v>841</v>
      </c>
      <c r="C419" s="2" t="str">
        <f>TEXT(TransactionsTable500[[#This Row],[Order Date]],"mmm")</f>
        <v>Aug</v>
      </c>
      <c r="D419" s="2" t="s">
        <v>42</v>
      </c>
      <c r="E419" s="2" t="s">
        <v>43</v>
      </c>
      <c r="F419" s="2" t="s">
        <v>44</v>
      </c>
      <c r="G419" s="2" t="s">
        <v>45</v>
      </c>
      <c r="H419" s="2" t="s">
        <v>103</v>
      </c>
      <c r="I419" s="2" t="s">
        <v>27</v>
      </c>
      <c r="J419" s="2">
        <v>1</v>
      </c>
      <c r="K419" s="3">
        <v>4.97</v>
      </c>
      <c r="L419" s="3">
        <v>4.97</v>
      </c>
      <c r="M419" s="4">
        <v>0</v>
      </c>
      <c r="N419" s="3">
        <v>0</v>
      </c>
      <c r="O419" s="3">
        <v>4.97</v>
      </c>
      <c r="P419" s="3">
        <v>1.71</v>
      </c>
      <c r="Q419" s="3">
        <v>3.26</v>
      </c>
      <c r="R419" s="2" t="s">
        <v>48</v>
      </c>
      <c r="S419" s="2" t="s">
        <v>29</v>
      </c>
      <c r="T419" s="2" t="s">
        <v>30</v>
      </c>
      <c r="U419" s="2">
        <v>5</v>
      </c>
    </row>
    <row r="420" spans="1:21" x14ac:dyDescent="0.25">
      <c r="A420" s="2" t="s">
        <v>842</v>
      </c>
      <c r="B420" s="2" t="s">
        <v>843</v>
      </c>
      <c r="C420" s="2" t="str">
        <f>TEXT(TransactionsTable500[[#This Row],[Order Date]],"mmm")</f>
        <v>Aug</v>
      </c>
      <c r="D420" s="2" t="s">
        <v>183</v>
      </c>
      <c r="E420" s="2" t="s">
        <v>184</v>
      </c>
      <c r="F420" s="2" t="s">
        <v>62</v>
      </c>
      <c r="G420" s="2" t="s">
        <v>185</v>
      </c>
      <c r="H420" s="2" t="s">
        <v>26</v>
      </c>
      <c r="I420" s="2" t="s">
        <v>27</v>
      </c>
      <c r="J420" s="2">
        <v>5</v>
      </c>
      <c r="K420" s="3">
        <v>5.13</v>
      </c>
      <c r="L420" s="3">
        <v>25.65</v>
      </c>
      <c r="M420" s="4">
        <v>0</v>
      </c>
      <c r="N420" s="3">
        <v>0</v>
      </c>
      <c r="O420" s="3">
        <v>25.65</v>
      </c>
      <c r="P420" s="3">
        <v>8.65</v>
      </c>
      <c r="Q420" s="3">
        <v>17</v>
      </c>
      <c r="R420" s="2" t="s">
        <v>48</v>
      </c>
      <c r="S420" s="2" t="s">
        <v>66</v>
      </c>
      <c r="T420" s="2" t="s">
        <v>30</v>
      </c>
      <c r="U420" s="2">
        <v>5</v>
      </c>
    </row>
    <row r="421" spans="1:21" x14ac:dyDescent="0.25">
      <c r="A421" s="2" t="s">
        <v>844</v>
      </c>
      <c r="B421" s="2" t="s">
        <v>845</v>
      </c>
      <c r="C421" s="2" t="str">
        <f>TEXT(TransactionsTable500[[#This Row],[Order Date]],"mmm")</f>
        <v>Aug</v>
      </c>
      <c r="D421" s="2" t="s">
        <v>216</v>
      </c>
      <c r="E421" s="2" t="s">
        <v>61</v>
      </c>
      <c r="F421" s="2" t="s">
        <v>62</v>
      </c>
      <c r="G421" s="2" t="s">
        <v>217</v>
      </c>
      <c r="H421" s="2" t="s">
        <v>77</v>
      </c>
      <c r="I421" s="2" t="s">
        <v>47</v>
      </c>
      <c r="J421" s="2">
        <v>1</v>
      </c>
      <c r="K421" s="3">
        <v>6.67</v>
      </c>
      <c r="L421" s="3">
        <v>6.67</v>
      </c>
      <c r="M421" s="4">
        <v>0</v>
      </c>
      <c r="N421" s="3">
        <v>0</v>
      </c>
      <c r="O421" s="3">
        <v>6.67</v>
      </c>
      <c r="P421" s="3">
        <v>2.2200000000000002</v>
      </c>
      <c r="Q421" s="3">
        <v>4.45</v>
      </c>
      <c r="R421" s="2" t="s">
        <v>48</v>
      </c>
      <c r="S421" s="2" t="s">
        <v>36</v>
      </c>
      <c r="T421" s="2" t="s">
        <v>90</v>
      </c>
      <c r="U421" s="2">
        <v>5</v>
      </c>
    </row>
    <row r="422" spans="1:21" x14ac:dyDescent="0.25">
      <c r="A422" s="2" t="s">
        <v>846</v>
      </c>
      <c r="B422" s="2" t="s">
        <v>847</v>
      </c>
      <c r="C422" s="2" t="str">
        <f>TEXT(TransactionsTable500[[#This Row],[Order Date]],"mmm")</f>
        <v>Aug</v>
      </c>
      <c r="D422" s="2" t="s">
        <v>60</v>
      </c>
      <c r="E422" s="2" t="s">
        <v>61</v>
      </c>
      <c r="F422" s="2" t="s">
        <v>62</v>
      </c>
      <c r="G422" s="2" t="s">
        <v>63</v>
      </c>
      <c r="H422" s="2" t="s">
        <v>93</v>
      </c>
      <c r="I422" s="2" t="s">
        <v>65</v>
      </c>
      <c r="J422" s="2">
        <v>1</v>
      </c>
      <c r="K422" s="3">
        <v>3.65</v>
      </c>
      <c r="L422" s="3">
        <v>3.65</v>
      </c>
      <c r="M422" s="4">
        <v>0.15</v>
      </c>
      <c r="N422" s="3">
        <v>0.55000000000000004</v>
      </c>
      <c r="O422" s="3">
        <v>3.1</v>
      </c>
      <c r="P422" s="3">
        <v>1.23</v>
      </c>
      <c r="Q422" s="3">
        <v>1.87</v>
      </c>
      <c r="R422" s="2" t="s">
        <v>96</v>
      </c>
      <c r="S422" s="2" t="s">
        <v>29</v>
      </c>
      <c r="T422" s="2" t="s">
        <v>30</v>
      </c>
      <c r="U422" s="2">
        <v>5</v>
      </c>
    </row>
    <row r="423" spans="1:21" x14ac:dyDescent="0.25">
      <c r="A423" s="2" t="s">
        <v>848</v>
      </c>
      <c r="B423" s="2" t="s">
        <v>849</v>
      </c>
      <c r="C423" s="2" t="str">
        <f>TEXT(TransactionsTable500[[#This Row],[Order Date]],"mmm")</f>
        <v>Aug</v>
      </c>
      <c r="D423" s="2" t="s">
        <v>115</v>
      </c>
      <c r="E423" s="2" t="s">
        <v>70</v>
      </c>
      <c r="F423" s="2" t="s">
        <v>44</v>
      </c>
      <c r="G423" s="2" t="s">
        <v>76</v>
      </c>
      <c r="H423" s="2" t="s">
        <v>157</v>
      </c>
      <c r="I423" s="2" t="s">
        <v>47</v>
      </c>
      <c r="J423" s="2">
        <v>1</v>
      </c>
      <c r="K423" s="3">
        <v>7.56</v>
      </c>
      <c r="L423" s="3">
        <v>7.56</v>
      </c>
      <c r="M423" s="4">
        <v>0</v>
      </c>
      <c r="N423" s="3">
        <v>0</v>
      </c>
      <c r="O423" s="3">
        <v>7.56</v>
      </c>
      <c r="P423" s="3">
        <v>2.7</v>
      </c>
      <c r="Q423" s="3">
        <v>4.8600000000000003</v>
      </c>
      <c r="R423" s="2" t="s">
        <v>48</v>
      </c>
      <c r="S423" s="2" t="s">
        <v>87</v>
      </c>
      <c r="T423" s="2" t="s">
        <v>37</v>
      </c>
      <c r="U423" s="2">
        <v>4</v>
      </c>
    </row>
    <row r="424" spans="1:21" x14ac:dyDescent="0.25">
      <c r="A424" s="2" t="s">
        <v>850</v>
      </c>
      <c r="B424" s="2" t="s">
        <v>851</v>
      </c>
      <c r="C424" s="2" t="str">
        <f>TEXT(TransactionsTable500[[#This Row],[Order Date]],"mmm")</f>
        <v>Aug</v>
      </c>
      <c r="D424" s="2" t="s">
        <v>129</v>
      </c>
      <c r="E424" s="2" t="s">
        <v>61</v>
      </c>
      <c r="F424" s="2" t="s">
        <v>62</v>
      </c>
      <c r="G424" s="2" t="s">
        <v>130</v>
      </c>
      <c r="H424" s="2" t="s">
        <v>26</v>
      </c>
      <c r="I424" s="2" t="s">
        <v>27</v>
      </c>
      <c r="J424" s="2">
        <v>4</v>
      </c>
      <c r="K424" s="3">
        <v>5.1100000000000003</v>
      </c>
      <c r="L424" s="3">
        <v>20.440000000000001</v>
      </c>
      <c r="M424" s="4">
        <v>0</v>
      </c>
      <c r="N424" s="3">
        <v>0</v>
      </c>
      <c r="O424" s="3">
        <v>20.440000000000001</v>
      </c>
      <c r="P424" s="3">
        <v>7.67</v>
      </c>
      <c r="Q424" s="3">
        <v>12.77</v>
      </c>
      <c r="R424" s="2" t="s">
        <v>28</v>
      </c>
      <c r="S424" s="2" t="s">
        <v>36</v>
      </c>
      <c r="T424" s="2" t="s">
        <v>30</v>
      </c>
      <c r="U424" s="2">
        <v>5</v>
      </c>
    </row>
    <row r="425" spans="1:21" x14ac:dyDescent="0.25">
      <c r="A425" s="2" t="s">
        <v>852</v>
      </c>
      <c r="B425" s="2" t="s">
        <v>851</v>
      </c>
      <c r="C425" s="2" t="str">
        <f>TEXT(TransactionsTable500[[#This Row],[Order Date]],"mmm")</f>
        <v>Aug</v>
      </c>
      <c r="D425" s="2" t="s">
        <v>221</v>
      </c>
      <c r="E425" s="2" t="s">
        <v>61</v>
      </c>
      <c r="F425" s="2" t="s">
        <v>62</v>
      </c>
      <c r="G425" s="2" t="s">
        <v>63</v>
      </c>
      <c r="H425" s="2" t="s">
        <v>228</v>
      </c>
      <c r="I425" s="2" t="s">
        <v>65</v>
      </c>
      <c r="J425" s="2">
        <v>4</v>
      </c>
      <c r="K425" s="3">
        <v>3.38</v>
      </c>
      <c r="L425" s="3">
        <v>13.52</v>
      </c>
      <c r="M425" s="4">
        <v>0</v>
      </c>
      <c r="N425" s="3">
        <v>0</v>
      </c>
      <c r="O425" s="3">
        <v>13.52</v>
      </c>
      <c r="P425" s="3">
        <v>5.52</v>
      </c>
      <c r="Q425" s="3">
        <v>8</v>
      </c>
      <c r="R425" s="2" t="s">
        <v>28</v>
      </c>
      <c r="S425" s="2" t="s">
        <v>36</v>
      </c>
      <c r="T425" s="2" t="s">
        <v>30</v>
      </c>
      <c r="U425" s="2">
        <v>3</v>
      </c>
    </row>
    <row r="426" spans="1:21" x14ac:dyDescent="0.25">
      <c r="A426" s="2" t="s">
        <v>853</v>
      </c>
      <c r="B426" s="2" t="s">
        <v>854</v>
      </c>
      <c r="C426" s="2" t="str">
        <f>TEXT(TransactionsTable500[[#This Row],[Order Date]],"mmm")</f>
        <v>Aug</v>
      </c>
      <c r="D426" s="2" t="s">
        <v>183</v>
      </c>
      <c r="E426" s="2" t="s">
        <v>184</v>
      </c>
      <c r="F426" s="2" t="s">
        <v>62</v>
      </c>
      <c r="G426" s="2" t="s">
        <v>185</v>
      </c>
      <c r="H426" s="2" t="s">
        <v>86</v>
      </c>
      <c r="I426" s="2" t="s">
        <v>27</v>
      </c>
      <c r="J426" s="2">
        <v>1</v>
      </c>
      <c r="K426" s="3">
        <v>4.63</v>
      </c>
      <c r="L426" s="3">
        <v>4.63</v>
      </c>
      <c r="M426" s="4">
        <v>0</v>
      </c>
      <c r="N426" s="3">
        <v>0</v>
      </c>
      <c r="O426" s="3">
        <v>4.63</v>
      </c>
      <c r="P426" s="3">
        <v>1.92</v>
      </c>
      <c r="Q426" s="3">
        <v>2.71</v>
      </c>
      <c r="R426" s="2" t="s">
        <v>48</v>
      </c>
      <c r="S426" s="2" t="s">
        <v>87</v>
      </c>
      <c r="T426" s="2" t="s">
        <v>30</v>
      </c>
      <c r="U426" s="2">
        <v>5</v>
      </c>
    </row>
    <row r="427" spans="1:21" x14ac:dyDescent="0.25">
      <c r="A427" s="2" t="s">
        <v>855</v>
      </c>
      <c r="B427" s="2" t="s">
        <v>856</v>
      </c>
      <c r="C427" s="2" t="str">
        <f>TEXT(TransactionsTable500[[#This Row],[Order Date]],"mmm")</f>
        <v>Aug</v>
      </c>
      <c r="D427" s="2" t="s">
        <v>42</v>
      </c>
      <c r="E427" s="2" t="s">
        <v>43</v>
      </c>
      <c r="F427" s="2" t="s">
        <v>44</v>
      </c>
      <c r="G427" s="2" t="s">
        <v>45</v>
      </c>
      <c r="H427" s="2" t="s">
        <v>203</v>
      </c>
      <c r="I427" s="2" t="s">
        <v>100</v>
      </c>
      <c r="J427" s="2">
        <v>2</v>
      </c>
      <c r="K427" s="3">
        <v>4.32</v>
      </c>
      <c r="L427" s="3">
        <v>8.64</v>
      </c>
      <c r="M427" s="4">
        <v>0</v>
      </c>
      <c r="N427" s="3">
        <v>0</v>
      </c>
      <c r="O427" s="3">
        <v>8.64</v>
      </c>
      <c r="P427" s="3">
        <v>3.18</v>
      </c>
      <c r="Q427" s="3">
        <v>5.46</v>
      </c>
      <c r="R427" s="2" t="s">
        <v>96</v>
      </c>
      <c r="S427" s="2" t="s">
        <v>66</v>
      </c>
      <c r="T427" s="2" t="s">
        <v>30</v>
      </c>
      <c r="U427" s="2">
        <v>3</v>
      </c>
    </row>
    <row r="428" spans="1:21" x14ac:dyDescent="0.25">
      <c r="A428" s="2" t="s">
        <v>857</v>
      </c>
      <c r="B428" s="2" t="s">
        <v>858</v>
      </c>
      <c r="C428" s="2" t="str">
        <f>TEXT(TransactionsTable500[[#This Row],[Order Date]],"mmm")</f>
        <v>Aug</v>
      </c>
      <c r="D428" s="2" t="s">
        <v>133</v>
      </c>
      <c r="E428" s="2" t="s">
        <v>119</v>
      </c>
      <c r="F428" s="2" t="s">
        <v>24</v>
      </c>
      <c r="G428" s="2" t="s">
        <v>134</v>
      </c>
      <c r="H428" s="2" t="s">
        <v>86</v>
      </c>
      <c r="I428" s="2" t="s">
        <v>27</v>
      </c>
      <c r="J428" s="2">
        <v>3</v>
      </c>
      <c r="K428" s="3">
        <v>4.4400000000000004</v>
      </c>
      <c r="L428" s="3">
        <v>13.32</v>
      </c>
      <c r="M428" s="4">
        <v>0</v>
      </c>
      <c r="N428" s="3">
        <v>0</v>
      </c>
      <c r="O428" s="3">
        <v>13.32</v>
      </c>
      <c r="P428" s="3">
        <v>4.67</v>
      </c>
      <c r="Q428" s="3">
        <v>8.65</v>
      </c>
      <c r="R428" s="2" t="s">
        <v>28</v>
      </c>
      <c r="S428" s="2" t="s">
        <v>29</v>
      </c>
      <c r="T428" s="2" t="s">
        <v>30</v>
      </c>
      <c r="U428" s="2">
        <v>3</v>
      </c>
    </row>
    <row r="429" spans="1:21" x14ac:dyDescent="0.25">
      <c r="A429" s="2" t="s">
        <v>859</v>
      </c>
      <c r="B429" s="2" t="s">
        <v>858</v>
      </c>
      <c r="C429" s="2" t="str">
        <f>TEXT(TransactionsTable500[[#This Row],[Order Date]],"mmm")</f>
        <v>Aug</v>
      </c>
      <c r="D429" s="2" t="s">
        <v>183</v>
      </c>
      <c r="E429" s="2" t="s">
        <v>184</v>
      </c>
      <c r="F429" s="2" t="s">
        <v>62</v>
      </c>
      <c r="G429" s="2" t="s">
        <v>185</v>
      </c>
      <c r="H429" s="2" t="s">
        <v>122</v>
      </c>
      <c r="I429" s="2" t="s">
        <v>47</v>
      </c>
      <c r="J429" s="2">
        <v>2</v>
      </c>
      <c r="K429" s="3">
        <v>6.95</v>
      </c>
      <c r="L429" s="3">
        <v>13.9</v>
      </c>
      <c r="M429" s="4">
        <v>0.15</v>
      </c>
      <c r="N429" s="3">
        <v>2.08</v>
      </c>
      <c r="O429" s="3">
        <v>11.82</v>
      </c>
      <c r="P429" s="3">
        <v>4.5</v>
      </c>
      <c r="Q429" s="3">
        <v>7.32</v>
      </c>
      <c r="R429" s="2" t="s">
        <v>48</v>
      </c>
      <c r="S429" s="2" t="s">
        <v>87</v>
      </c>
      <c r="T429" s="2" t="s">
        <v>90</v>
      </c>
      <c r="U429" s="2">
        <v>3</v>
      </c>
    </row>
    <row r="430" spans="1:21" x14ac:dyDescent="0.25">
      <c r="A430" s="2" t="s">
        <v>860</v>
      </c>
      <c r="B430" s="2" t="s">
        <v>858</v>
      </c>
      <c r="C430" s="2" t="str">
        <f>TEXT(TransactionsTable500[[#This Row],[Order Date]],"mmm")</f>
        <v>Aug</v>
      </c>
      <c r="D430" s="2" t="s">
        <v>133</v>
      </c>
      <c r="E430" s="2" t="s">
        <v>119</v>
      </c>
      <c r="F430" s="2" t="s">
        <v>24</v>
      </c>
      <c r="G430" s="2" t="s">
        <v>134</v>
      </c>
      <c r="H430" s="2" t="s">
        <v>106</v>
      </c>
      <c r="I430" s="2" t="s">
        <v>100</v>
      </c>
      <c r="J430" s="2">
        <v>1</v>
      </c>
      <c r="K430" s="3">
        <v>3.34</v>
      </c>
      <c r="L430" s="3">
        <v>3.34</v>
      </c>
      <c r="M430" s="4">
        <v>0.1</v>
      </c>
      <c r="N430" s="3">
        <v>0.33</v>
      </c>
      <c r="O430" s="3">
        <v>3.01</v>
      </c>
      <c r="P430" s="3">
        <v>1.25</v>
      </c>
      <c r="Q430" s="3">
        <v>1.76</v>
      </c>
      <c r="R430" s="2" t="s">
        <v>28</v>
      </c>
      <c r="S430" s="2" t="s">
        <v>29</v>
      </c>
      <c r="T430" s="2" t="s">
        <v>30</v>
      </c>
      <c r="U430" s="2">
        <v>3</v>
      </c>
    </row>
    <row r="431" spans="1:21" x14ac:dyDescent="0.25">
      <c r="A431" s="2" t="s">
        <v>861</v>
      </c>
      <c r="B431" s="2" t="s">
        <v>862</v>
      </c>
      <c r="C431" s="2" t="str">
        <f>TEXT(TransactionsTable500[[#This Row],[Order Date]],"mmm")</f>
        <v>Aug</v>
      </c>
      <c r="D431" s="2" t="s">
        <v>129</v>
      </c>
      <c r="E431" s="2" t="s">
        <v>61</v>
      </c>
      <c r="F431" s="2" t="s">
        <v>62</v>
      </c>
      <c r="G431" s="2" t="s">
        <v>130</v>
      </c>
      <c r="H431" s="2" t="s">
        <v>112</v>
      </c>
      <c r="I431" s="2" t="s">
        <v>100</v>
      </c>
      <c r="J431" s="2">
        <v>2</v>
      </c>
      <c r="K431" s="3">
        <v>3.7</v>
      </c>
      <c r="L431" s="3">
        <v>7.4</v>
      </c>
      <c r="M431" s="4">
        <v>0.1</v>
      </c>
      <c r="N431" s="3">
        <v>0.74</v>
      </c>
      <c r="O431" s="3">
        <v>6.66</v>
      </c>
      <c r="P431" s="3">
        <v>2.4500000000000002</v>
      </c>
      <c r="Q431" s="3">
        <v>4.21</v>
      </c>
      <c r="R431" s="2" t="s">
        <v>28</v>
      </c>
      <c r="S431" s="2" t="s">
        <v>29</v>
      </c>
      <c r="T431" s="2" t="s">
        <v>30</v>
      </c>
      <c r="U431" s="2">
        <v>3</v>
      </c>
    </row>
    <row r="432" spans="1:21" x14ac:dyDescent="0.25">
      <c r="A432" s="2" t="s">
        <v>863</v>
      </c>
      <c r="B432" s="2" t="s">
        <v>862</v>
      </c>
      <c r="C432" s="2" t="str">
        <f>TEXT(TransactionsTable500[[#This Row],[Order Date]],"mmm")</f>
        <v>Aug</v>
      </c>
      <c r="D432" s="2" t="s">
        <v>155</v>
      </c>
      <c r="E432" s="2" t="s">
        <v>61</v>
      </c>
      <c r="F432" s="2" t="s">
        <v>62</v>
      </c>
      <c r="G432" s="2" t="s">
        <v>156</v>
      </c>
      <c r="H432" s="2" t="s">
        <v>57</v>
      </c>
      <c r="I432" s="2" t="s">
        <v>58</v>
      </c>
      <c r="J432" s="2">
        <v>1</v>
      </c>
      <c r="K432" s="3">
        <v>9.3000000000000007</v>
      </c>
      <c r="L432" s="3">
        <v>9.3000000000000007</v>
      </c>
      <c r="M432" s="4">
        <v>0.1</v>
      </c>
      <c r="N432" s="3">
        <v>0.93</v>
      </c>
      <c r="O432" s="3">
        <v>8.3699999999999992</v>
      </c>
      <c r="P432" s="3">
        <v>3.26</v>
      </c>
      <c r="Q432" s="3">
        <v>5.1100000000000003</v>
      </c>
      <c r="R432" s="2" t="s">
        <v>28</v>
      </c>
      <c r="S432" s="2" t="s">
        <v>29</v>
      </c>
      <c r="T432" s="2" t="s">
        <v>30</v>
      </c>
      <c r="U432" s="2">
        <v>3</v>
      </c>
    </row>
    <row r="433" spans="1:21" x14ac:dyDescent="0.25">
      <c r="A433" s="2" t="s">
        <v>864</v>
      </c>
      <c r="B433" s="2" t="s">
        <v>865</v>
      </c>
      <c r="C433" s="2" t="str">
        <f>TEXT(TransactionsTable500[[#This Row],[Order Date]],"mmm")</f>
        <v>Sep</v>
      </c>
      <c r="D433" s="2" t="s">
        <v>139</v>
      </c>
      <c r="E433" s="2" t="s">
        <v>70</v>
      </c>
      <c r="F433" s="2" t="s">
        <v>44</v>
      </c>
      <c r="G433" s="2" t="s">
        <v>71</v>
      </c>
      <c r="H433" s="2" t="s">
        <v>203</v>
      </c>
      <c r="I433" s="2" t="s">
        <v>100</v>
      </c>
      <c r="J433" s="2">
        <v>3</v>
      </c>
      <c r="K433" s="3">
        <v>4.3099999999999996</v>
      </c>
      <c r="L433" s="3">
        <v>12.93</v>
      </c>
      <c r="M433" s="4">
        <v>0</v>
      </c>
      <c r="N433" s="3">
        <v>0</v>
      </c>
      <c r="O433" s="3">
        <v>12.93</v>
      </c>
      <c r="P433" s="3">
        <v>4.28</v>
      </c>
      <c r="Q433" s="3">
        <v>8.65</v>
      </c>
      <c r="R433" s="2" t="s">
        <v>28</v>
      </c>
      <c r="S433" s="2" t="s">
        <v>66</v>
      </c>
      <c r="T433" s="2" t="s">
        <v>37</v>
      </c>
      <c r="U433" s="2">
        <v>4</v>
      </c>
    </row>
    <row r="434" spans="1:21" x14ac:dyDescent="0.25">
      <c r="A434" s="2" t="s">
        <v>866</v>
      </c>
      <c r="B434" s="2" t="s">
        <v>867</v>
      </c>
      <c r="C434" s="2" t="str">
        <f>TEXT(TransactionsTable500[[#This Row],[Order Date]],"mmm")</f>
        <v>Sep</v>
      </c>
      <c r="D434" s="2" t="s">
        <v>143</v>
      </c>
      <c r="E434" s="2" t="s">
        <v>43</v>
      </c>
      <c r="F434" s="2" t="s">
        <v>44</v>
      </c>
      <c r="G434" s="2" t="s">
        <v>144</v>
      </c>
      <c r="H434" s="2" t="s">
        <v>112</v>
      </c>
      <c r="I434" s="2" t="s">
        <v>100</v>
      </c>
      <c r="J434" s="2">
        <v>1</v>
      </c>
      <c r="K434" s="3">
        <v>3.94</v>
      </c>
      <c r="L434" s="3">
        <v>3.94</v>
      </c>
      <c r="M434" s="4">
        <v>0</v>
      </c>
      <c r="N434" s="3">
        <v>0</v>
      </c>
      <c r="O434" s="3">
        <v>3.94</v>
      </c>
      <c r="P434" s="3">
        <v>1.61</v>
      </c>
      <c r="Q434" s="3">
        <v>2.33</v>
      </c>
      <c r="R434" s="2" t="s">
        <v>28</v>
      </c>
      <c r="S434" s="2" t="s">
        <v>66</v>
      </c>
      <c r="T434" s="2" t="s">
        <v>30</v>
      </c>
      <c r="U434" s="2">
        <v>5</v>
      </c>
    </row>
    <row r="435" spans="1:21" x14ac:dyDescent="0.25">
      <c r="A435" s="2" t="s">
        <v>868</v>
      </c>
      <c r="B435" s="2" t="s">
        <v>869</v>
      </c>
      <c r="C435" s="2" t="str">
        <f>TEXT(TransactionsTable500[[#This Row],[Order Date]],"mmm")</f>
        <v>Sep</v>
      </c>
      <c r="D435" s="2" t="s">
        <v>118</v>
      </c>
      <c r="E435" s="2" t="s">
        <v>119</v>
      </c>
      <c r="F435" s="2" t="s">
        <v>24</v>
      </c>
      <c r="G435" s="2" t="s">
        <v>120</v>
      </c>
      <c r="H435" s="2" t="s">
        <v>93</v>
      </c>
      <c r="I435" s="2" t="s">
        <v>65</v>
      </c>
      <c r="J435" s="2">
        <v>2</v>
      </c>
      <c r="K435" s="3">
        <v>3.59</v>
      </c>
      <c r="L435" s="3">
        <v>7.18</v>
      </c>
      <c r="M435" s="4">
        <v>0.05</v>
      </c>
      <c r="N435" s="3">
        <v>0.36</v>
      </c>
      <c r="O435" s="3">
        <v>6.82</v>
      </c>
      <c r="P435" s="3">
        <v>2.35</v>
      </c>
      <c r="Q435" s="3">
        <v>4.47</v>
      </c>
      <c r="R435" s="2" t="s">
        <v>48</v>
      </c>
      <c r="S435" s="2" t="s">
        <v>29</v>
      </c>
      <c r="T435" s="2" t="s">
        <v>30</v>
      </c>
      <c r="U435" s="2">
        <v>4</v>
      </c>
    </row>
    <row r="436" spans="1:21" x14ac:dyDescent="0.25">
      <c r="A436" s="2" t="s">
        <v>870</v>
      </c>
      <c r="B436" s="2" t="s">
        <v>871</v>
      </c>
      <c r="C436" s="2" t="str">
        <f>TEXT(TransactionsTable500[[#This Row],[Order Date]],"mmm")</f>
        <v>Sep</v>
      </c>
      <c r="D436" s="2" t="s">
        <v>51</v>
      </c>
      <c r="E436" s="2" t="s">
        <v>23</v>
      </c>
      <c r="F436" s="2" t="s">
        <v>24</v>
      </c>
      <c r="G436" s="2" t="s">
        <v>52</v>
      </c>
      <c r="H436" s="2" t="s">
        <v>231</v>
      </c>
      <c r="I436" s="2" t="s">
        <v>100</v>
      </c>
      <c r="J436" s="2">
        <v>3</v>
      </c>
      <c r="K436" s="3">
        <v>4.78</v>
      </c>
      <c r="L436" s="3">
        <v>14.34</v>
      </c>
      <c r="M436" s="4">
        <v>0</v>
      </c>
      <c r="N436" s="3">
        <v>0</v>
      </c>
      <c r="O436" s="3">
        <v>14.34</v>
      </c>
      <c r="P436" s="3">
        <v>5.49</v>
      </c>
      <c r="Q436" s="3">
        <v>8.85</v>
      </c>
      <c r="R436" s="2" t="s">
        <v>48</v>
      </c>
      <c r="S436" s="2" t="s">
        <v>29</v>
      </c>
      <c r="T436" s="2" t="s">
        <v>30</v>
      </c>
      <c r="U436" s="2">
        <v>4</v>
      </c>
    </row>
    <row r="437" spans="1:21" x14ac:dyDescent="0.25">
      <c r="A437" s="2" t="s">
        <v>872</v>
      </c>
      <c r="B437" s="2" t="s">
        <v>873</v>
      </c>
      <c r="C437" s="2" t="str">
        <f>TEXT(TransactionsTable500[[#This Row],[Order Date]],"mmm")</f>
        <v>Sep</v>
      </c>
      <c r="D437" s="2" t="s">
        <v>80</v>
      </c>
      <c r="E437" s="2" t="s">
        <v>23</v>
      </c>
      <c r="F437" s="2" t="s">
        <v>24</v>
      </c>
      <c r="G437" s="2" t="s">
        <v>81</v>
      </c>
      <c r="H437" s="2" t="s">
        <v>228</v>
      </c>
      <c r="I437" s="2" t="s">
        <v>65</v>
      </c>
      <c r="J437" s="2">
        <v>5</v>
      </c>
      <c r="K437" s="3">
        <v>3.48</v>
      </c>
      <c r="L437" s="3">
        <v>17.399999999999999</v>
      </c>
      <c r="M437" s="4">
        <v>0</v>
      </c>
      <c r="N437" s="3">
        <v>0</v>
      </c>
      <c r="O437" s="3">
        <v>17.399999999999999</v>
      </c>
      <c r="P437" s="3">
        <v>7.09</v>
      </c>
      <c r="Q437" s="3">
        <v>10.31</v>
      </c>
      <c r="R437" s="2" t="s">
        <v>96</v>
      </c>
      <c r="S437" s="2" t="s">
        <v>87</v>
      </c>
      <c r="T437" s="2" t="s">
        <v>30</v>
      </c>
      <c r="U437" s="2">
        <v>5</v>
      </c>
    </row>
    <row r="438" spans="1:21" x14ac:dyDescent="0.25">
      <c r="A438" s="2" t="s">
        <v>874</v>
      </c>
      <c r="B438" s="2" t="s">
        <v>875</v>
      </c>
      <c r="C438" s="2" t="str">
        <f>TEXT(TransactionsTable500[[#This Row],[Order Date]],"mmm")</f>
        <v>Sep</v>
      </c>
      <c r="D438" s="2" t="s">
        <v>95</v>
      </c>
      <c r="E438" s="2" t="s">
        <v>23</v>
      </c>
      <c r="F438" s="2" t="s">
        <v>24</v>
      </c>
      <c r="G438" s="2" t="s">
        <v>52</v>
      </c>
      <c r="H438" s="2" t="s">
        <v>228</v>
      </c>
      <c r="I438" s="2" t="s">
        <v>65</v>
      </c>
      <c r="J438" s="2">
        <v>1</v>
      </c>
      <c r="K438" s="3">
        <v>3.44</v>
      </c>
      <c r="L438" s="3">
        <v>3.44</v>
      </c>
      <c r="M438" s="4">
        <v>0</v>
      </c>
      <c r="N438" s="3">
        <v>0</v>
      </c>
      <c r="O438" s="3">
        <v>3.44</v>
      </c>
      <c r="P438" s="3">
        <v>1.36</v>
      </c>
      <c r="Q438" s="3">
        <v>2.08</v>
      </c>
      <c r="R438" s="2" t="s">
        <v>28</v>
      </c>
      <c r="S438" s="2" t="s">
        <v>29</v>
      </c>
      <c r="T438" s="2" t="s">
        <v>37</v>
      </c>
      <c r="U438" s="2">
        <v>5</v>
      </c>
    </row>
    <row r="439" spans="1:21" x14ac:dyDescent="0.25">
      <c r="A439" s="2" t="s">
        <v>876</v>
      </c>
      <c r="B439" s="2" t="s">
        <v>877</v>
      </c>
      <c r="C439" s="2" t="str">
        <f>TEXT(TransactionsTable500[[#This Row],[Order Date]],"mmm")</f>
        <v>Sep</v>
      </c>
      <c r="D439" s="2" t="s">
        <v>216</v>
      </c>
      <c r="E439" s="2" t="s">
        <v>61</v>
      </c>
      <c r="F439" s="2" t="s">
        <v>62</v>
      </c>
      <c r="G439" s="2" t="s">
        <v>217</v>
      </c>
      <c r="H439" s="2" t="s">
        <v>53</v>
      </c>
      <c r="I439" s="2" t="s">
        <v>27</v>
      </c>
      <c r="J439" s="2">
        <v>1</v>
      </c>
      <c r="K439" s="3">
        <v>3.71</v>
      </c>
      <c r="L439" s="3">
        <v>3.71</v>
      </c>
      <c r="M439" s="4">
        <v>0</v>
      </c>
      <c r="N439" s="3">
        <v>0</v>
      </c>
      <c r="O439" s="3">
        <v>3.71</v>
      </c>
      <c r="P439" s="3">
        <v>1.55</v>
      </c>
      <c r="Q439" s="3">
        <v>2.16</v>
      </c>
      <c r="R439" s="2" t="s">
        <v>48</v>
      </c>
      <c r="S439" s="2" t="s">
        <v>87</v>
      </c>
      <c r="T439" s="2" t="s">
        <v>30</v>
      </c>
      <c r="U439" s="2">
        <v>5</v>
      </c>
    </row>
    <row r="440" spans="1:21" x14ac:dyDescent="0.25">
      <c r="A440" s="2" t="s">
        <v>878</v>
      </c>
      <c r="B440" s="2" t="s">
        <v>879</v>
      </c>
      <c r="C440" s="2" t="str">
        <f>TEXT(TransactionsTable500[[#This Row],[Order Date]],"mmm")</f>
        <v>Sep</v>
      </c>
      <c r="D440" s="2" t="s">
        <v>199</v>
      </c>
      <c r="E440" s="2" t="s">
        <v>70</v>
      </c>
      <c r="F440" s="2" t="s">
        <v>44</v>
      </c>
      <c r="G440" s="2" t="s">
        <v>200</v>
      </c>
      <c r="H440" s="2" t="s">
        <v>46</v>
      </c>
      <c r="I440" s="2" t="s">
        <v>47</v>
      </c>
      <c r="J440" s="2">
        <v>1</v>
      </c>
      <c r="K440" s="3">
        <v>7.98</v>
      </c>
      <c r="L440" s="3">
        <v>7.98</v>
      </c>
      <c r="M440" s="4">
        <v>0</v>
      </c>
      <c r="N440" s="3">
        <v>0</v>
      </c>
      <c r="O440" s="3">
        <v>7.98</v>
      </c>
      <c r="P440" s="3">
        <v>3.19</v>
      </c>
      <c r="Q440" s="3">
        <v>4.79</v>
      </c>
      <c r="R440" s="2" t="s">
        <v>48</v>
      </c>
      <c r="S440" s="2" t="s">
        <v>29</v>
      </c>
      <c r="T440" s="2" t="s">
        <v>30</v>
      </c>
      <c r="U440" s="2">
        <v>3</v>
      </c>
    </row>
    <row r="441" spans="1:21" x14ac:dyDescent="0.25">
      <c r="A441" s="2" t="s">
        <v>880</v>
      </c>
      <c r="B441" s="2" t="s">
        <v>879</v>
      </c>
      <c r="C441" s="2" t="str">
        <f>TEXT(TransactionsTable500[[#This Row],[Order Date]],"mmm")</f>
        <v>Sep</v>
      </c>
      <c r="D441" s="2" t="s">
        <v>109</v>
      </c>
      <c r="E441" s="2" t="s">
        <v>33</v>
      </c>
      <c r="F441" s="2" t="s">
        <v>34</v>
      </c>
      <c r="G441" s="2" t="s">
        <v>110</v>
      </c>
      <c r="H441" s="2" t="s">
        <v>228</v>
      </c>
      <c r="I441" s="2" t="s">
        <v>65</v>
      </c>
      <c r="J441" s="2">
        <v>3</v>
      </c>
      <c r="K441" s="3">
        <v>3.52</v>
      </c>
      <c r="L441" s="3">
        <v>10.56</v>
      </c>
      <c r="M441" s="4">
        <v>0</v>
      </c>
      <c r="N441" s="3">
        <v>0</v>
      </c>
      <c r="O441" s="3">
        <v>10.56</v>
      </c>
      <c r="P441" s="3">
        <v>4.28</v>
      </c>
      <c r="Q441" s="3">
        <v>6.28</v>
      </c>
      <c r="R441" s="2" t="s">
        <v>48</v>
      </c>
      <c r="S441" s="2" t="s">
        <v>29</v>
      </c>
      <c r="T441" s="2" t="s">
        <v>30</v>
      </c>
      <c r="U441" s="2">
        <v>4</v>
      </c>
    </row>
    <row r="442" spans="1:21" x14ac:dyDescent="0.25">
      <c r="A442" s="2" t="s">
        <v>881</v>
      </c>
      <c r="B442" s="2" t="s">
        <v>879</v>
      </c>
      <c r="C442" s="2" t="str">
        <f>TEXT(TransactionsTable500[[#This Row],[Order Date]],"mmm")</f>
        <v>Sep</v>
      </c>
      <c r="D442" s="2" t="s">
        <v>127</v>
      </c>
      <c r="E442" s="2" t="s">
        <v>23</v>
      </c>
      <c r="F442" s="2" t="s">
        <v>24</v>
      </c>
      <c r="G442" s="2" t="s">
        <v>25</v>
      </c>
      <c r="H442" s="2" t="s">
        <v>157</v>
      </c>
      <c r="I442" s="2" t="s">
        <v>47</v>
      </c>
      <c r="J442" s="2">
        <v>2</v>
      </c>
      <c r="K442" s="3">
        <v>7.64</v>
      </c>
      <c r="L442" s="3">
        <v>15.28</v>
      </c>
      <c r="M442" s="4">
        <v>0.1</v>
      </c>
      <c r="N442" s="3">
        <v>1.53</v>
      </c>
      <c r="O442" s="3">
        <v>13.75</v>
      </c>
      <c r="P442" s="3">
        <v>4.54</v>
      </c>
      <c r="Q442" s="3">
        <v>9.2100000000000009</v>
      </c>
      <c r="R442" s="2" t="s">
        <v>28</v>
      </c>
      <c r="S442" s="2" t="s">
        <v>36</v>
      </c>
      <c r="T442" s="2" t="s">
        <v>90</v>
      </c>
      <c r="U442" s="2">
        <v>5</v>
      </c>
    </row>
    <row r="443" spans="1:21" x14ac:dyDescent="0.25">
      <c r="A443" s="2" t="s">
        <v>882</v>
      </c>
      <c r="B443" s="2" t="s">
        <v>883</v>
      </c>
      <c r="C443" s="2" t="str">
        <f>TEXT(TransactionsTable500[[#This Row],[Order Date]],"mmm")</f>
        <v>Sep</v>
      </c>
      <c r="D443" s="2" t="s">
        <v>115</v>
      </c>
      <c r="E443" s="2" t="s">
        <v>70</v>
      </c>
      <c r="F443" s="2" t="s">
        <v>44</v>
      </c>
      <c r="G443" s="2" t="s">
        <v>76</v>
      </c>
      <c r="H443" s="2" t="s">
        <v>77</v>
      </c>
      <c r="I443" s="2" t="s">
        <v>47</v>
      </c>
      <c r="J443" s="2">
        <v>1</v>
      </c>
      <c r="K443" s="3">
        <v>6.7</v>
      </c>
      <c r="L443" s="3">
        <v>6.7</v>
      </c>
      <c r="M443" s="4">
        <v>0</v>
      </c>
      <c r="N443" s="3">
        <v>0</v>
      </c>
      <c r="O443" s="3">
        <v>6.7</v>
      </c>
      <c r="P443" s="3">
        <v>2.76</v>
      </c>
      <c r="Q443" s="3">
        <v>3.94</v>
      </c>
      <c r="R443" s="2" t="s">
        <v>96</v>
      </c>
      <c r="S443" s="2" t="s">
        <v>36</v>
      </c>
      <c r="T443" s="2" t="s">
        <v>30</v>
      </c>
      <c r="U443" s="2">
        <v>3</v>
      </c>
    </row>
    <row r="444" spans="1:21" x14ac:dyDescent="0.25">
      <c r="A444" s="2" t="s">
        <v>884</v>
      </c>
      <c r="B444" s="2" t="s">
        <v>883</v>
      </c>
      <c r="C444" s="2" t="str">
        <f>TEXT(TransactionsTable500[[#This Row],[Order Date]],"mmm")</f>
        <v>Sep</v>
      </c>
      <c r="D444" s="2" t="s">
        <v>127</v>
      </c>
      <c r="E444" s="2" t="s">
        <v>23</v>
      </c>
      <c r="F444" s="2" t="s">
        <v>24</v>
      </c>
      <c r="G444" s="2" t="s">
        <v>25</v>
      </c>
      <c r="H444" s="2" t="s">
        <v>53</v>
      </c>
      <c r="I444" s="2" t="s">
        <v>27</v>
      </c>
      <c r="J444" s="2">
        <v>1</v>
      </c>
      <c r="K444" s="3">
        <v>3.75</v>
      </c>
      <c r="L444" s="3">
        <v>3.75</v>
      </c>
      <c r="M444" s="4">
        <v>0</v>
      </c>
      <c r="N444" s="3">
        <v>0</v>
      </c>
      <c r="O444" s="3">
        <v>3.75</v>
      </c>
      <c r="P444" s="3">
        <v>1.24</v>
      </c>
      <c r="Q444" s="3">
        <v>2.5099999999999998</v>
      </c>
      <c r="R444" s="2" t="s">
        <v>96</v>
      </c>
      <c r="S444" s="2" t="s">
        <v>29</v>
      </c>
      <c r="T444" s="2" t="s">
        <v>30</v>
      </c>
      <c r="U444" s="2">
        <v>5</v>
      </c>
    </row>
    <row r="445" spans="1:21" x14ac:dyDescent="0.25">
      <c r="A445" s="2" t="s">
        <v>885</v>
      </c>
      <c r="B445" s="2" t="s">
        <v>886</v>
      </c>
      <c r="C445" s="2" t="str">
        <f>TEXT(TransactionsTable500[[#This Row],[Order Date]],"mmm")</f>
        <v>Sep</v>
      </c>
      <c r="D445" s="2" t="s">
        <v>270</v>
      </c>
      <c r="E445" s="2" t="s">
        <v>70</v>
      </c>
      <c r="F445" s="2" t="s">
        <v>44</v>
      </c>
      <c r="G445" s="2" t="s">
        <v>200</v>
      </c>
      <c r="H445" s="2" t="s">
        <v>86</v>
      </c>
      <c r="I445" s="2" t="s">
        <v>27</v>
      </c>
      <c r="J445" s="2">
        <v>2</v>
      </c>
      <c r="K445" s="3">
        <v>4.63</v>
      </c>
      <c r="L445" s="3">
        <v>9.26</v>
      </c>
      <c r="M445" s="4">
        <v>0</v>
      </c>
      <c r="N445" s="3">
        <v>0</v>
      </c>
      <c r="O445" s="3">
        <v>9.26</v>
      </c>
      <c r="P445" s="3">
        <v>3.62</v>
      </c>
      <c r="Q445" s="3">
        <v>5.64</v>
      </c>
      <c r="R445" s="2" t="s">
        <v>48</v>
      </c>
      <c r="S445" s="2" t="s">
        <v>29</v>
      </c>
      <c r="T445" s="2" t="s">
        <v>30</v>
      </c>
      <c r="U445" s="2">
        <v>4</v>
      </c>
    </row>
    <row r="446" spans="1:21" x14ac:dyDescent="0.25">
      <c r="A446" s="2" t="s">
        <v>887</v>
      </c>
      <c r="B446" s="2" t="s">
        <v>886</v>
      </c>
      <c r="C446" s="2" t="str">
        <f>TEXT(TransactionsTable500[[#This Row],[Order Date]],"mmm")</f>
        <v>Sep</v>
      </c>
      <c r="D446" s="2" t="s">
        <v>177</v>
      </c>
      <c r="E446" s="2" t="s">
        <v>43</v>
      </c>
      <c r="F446" s="2" t="s">
        <v>44</v>
      </c>
      <c r="G446" s="2" t="s">
        <v>45</v>
      </c>
      <c r="H446" s="2" t="s">
        <v>46</v>
      </c>
      <c r="I446" s="2" t="s">
        <v>47</v>
      </c>
      <c r="J446" s="2">
        <v>1</v>
      </c>
      <c r="K446" s="3">
        <v>8.19</v>
      </c>
      <c r="L446" s="3">
        <v>8.19</v>
      </c>
      <c r="M446" s="4">
        <v>0</v>
      </c>
      <c r="N446" s="3">
        <v>0</v>
      </c>
      <c r="O446" s="3">
        <v>8.19</v>
      </c>
      <c r="P446" s="3">
        <v>3.28</v>
      </c>
      <c r="Q446" s="3">
        <v>4.91</v>
      </c>
      <c r="R446" s="2" t="s">
        <v>48</v>
      </c>
      <c r="S446" s="2" t="s">
        <v>36</v>
      </c>
      <c r="T446" s="2" t="s">
        <v>30</v>
      </c>
      <c r="U446" s="2">
        <v>3</v>
      </c>
    </row>
    <row r="447" spans="1:21" x14ac:dyDescent="0.25">
      <c r="A447" s="2" t="s">
        <v>888</v>
      </c>
      <c r="B447" s="2" t="s">
        <v>889</v>
      </c>
      <c r="C447" s="2" t="str">
        <f>TEXT(TransactionsTable500[[#This Row],[Order Date]],"mmm")</f>
        <v>Sep</v>
      </c>
      <c r="D447" s="2" t="s">
        <v>22</v>
      </c>
      <c r="E447" s="2" t="s">
        <v>23</v>
      </c>
      <c r="F447" s="2" t="s">
        <v>24</v>
      </c>
      <c r="G447" s="2" t="s">
        <v>25</v>
      </c>
      <c r="H447" s="2" t="s">
        <v>103</v>
      </c>
      <c r="I447" s="2" t="s">
        <v>27</v>
      </c>
      <c r="J447" s="2">
        <v>4</v>
      </c>
      <c r="K447" s="3">
        <v>4.8899999999999997</v>
      </c>
      <c r="L447" s="3">
        <v>19.559999999999999</v>
      </c>
      <c r="M447" s="4">
        <v>0</v>
      </c>
      <c r="N447" s="3">
        <v>0</v>
      </c>
      <c r="O447" s="3">
        <v>19.559999999999999</v>
      </c>
      <c r="P447" s="3">
        <v>8.17</v>
      </c>
      <c r="Q447" s="3">
        <v>11.39</v>
      </c>
      <c r="R447" s="2" t="s">
        <v>28</v>
      </c>
      <c r="S447" s="2" t="s">
        <v>36</v>
      </c>
      <c r="T447" s="2" t="s">
        <v>90</v>
      </c>
      <c r="U447" s="2">
        <v>4</v>
      </c>
    </row>
    <row r="448" spans="1:21" x14ac:dyDescent="0.25">
      <c r="A448" s="2" t="s">
        <v>890</v>
      </c>
      <c r="B448" s="2" t="s">
        <v>891</v>
      </c>
      <c r="C448" s="2" t="str">
        <f>TEXT(TransactionsTable500[[#This Row],[Order Date]],"mmm")</f>
        <v>Sep</v>
      </c>
      <c r="D448" s="2" t="s">
        <v>80</v>
      </c>
      <c r="E448" s="2" t="s">
        <v>23</v>
      </c>
      <c r="F448" s="2" t="s">
        <v>24</v>
      </c>
      <c r="G448" s="2" t="s">
        <v>81</v>
      </c>
      <c r="H448" s="2" t="s">
        <v>99</v>
      </c>
      <c r="I448" s="2" t="s">
        <v>100</v>
      </c>
      <c r="J448" s="2">
        <v>2</v>
      </c>
      <c r="K448" s="3">
        <v>4.33</v>
      </c>
      <c r="L448" s="3">
        <v>8.66</v>
      </c>
      <c r="M448" s="4">
        <v>0</v>
      </c>
      <c r="N448" s="3">
        <v>0</v>
      </c>
      <c r="O448" s="3">
        <v>8.66</v>
      </c>
      <c r="P448" s="3">
        <v>2.79</v>
      </c>
      <c r="Q448" s="3">
        <v>5.87</v>
      </c>
      <c r="R448" s="2" t="s">
        <v>48</v>
      </c>
      <c r="S448" s="2" t="s">
        <v>66</v>
      </c>
      <c r="T448" s="2" t="s">
        <v>37</v>
      </c>
      <c r="U448" s="2">
        <v>4</v>
      </c>
    </row>
    <row r="449" spans="1:21" x14ac:dyDescent="0.25">
      <c r="A449" s="2" t="s">
        <v>892</v>
      </c>
      <c r="B449" s="2" t="s">
        <v>891</v>
      </c>
      <c r="C449" s="2" t="str">
        <f>TEXT(TransactionsTable500[[#This Row],[Order Date]],"mmm")</f>
        <v>Sep</v>
      </c>
      <c r="D449" s="2" t="s">
        <v>109</v>
      </c>
      <c r="E449" s="2" t="s">
        <v>33</v>
      </c>
      <c r="F449" s="2" t="s">
        <v>34</v>
      </c>
      <c r="G449" s="2" t="s">
        <v>110</v>
      </c>
      <c r="H449" s="2" t="s">
        <v>57</v>
      </c>
      <c r="I449" s="2" t="s">
        <v>58</v>
      </c>
      <c r="J449" s="2">
        <v>4</v>
      </c>
      <c r="K449" s="3">
        <v>8.8800000000000008</v>
      </c>
      <c r="L449" s="3">
        <v>35.520000000000003</v>
      </c>
      <c r="M449" s="4">
        <v>0</v>
      </c>
      <c r="N449" s="3">
        <v>0</v>
      </c>
      <c r="O449" s="3">
        <v>35.520000000000003</v>
      </c>
      <c r="P449" s="3">
        <v>14.14</v>
      </c>
      <c r="Q449" s="3">
        <v>21.38</v>
      </c>
      <c r="R449" s="2" t="s">
        <v>48</v>
      </c>
      <c r="S449" s="2" t="s">
        <v>87</v>
      </c>
      <c r="T449" s="2" t="s">
        <v>30</v>
      </c>
      <c r="U449" s="2">
        <v>4</v>
      </c>
    </row>
    <row r="450" spans="1:21" x14ac:dyDescent="0.25">
      <c r="A450" s="2" t="s">
        <v>893</v>
      </c>
      <c r="B450" s="2" t="s">
        <v>894</v>
      </c>
      <c r="C450" s="2" t="str">
        <f>TEXT(TransactionsTable500[[#This Row],[Order Date]],"mmm")</f>
        <v>Sep</v>
      </c>
      <c r="D450" s="2" t="s">
        <v>183</v>
      </c>
      <c r="E450" s="2" t="s">
        <v>184</v>
      </c>
      <c r="F450" s="2" t="s">
        <v>62</v>
      </c>
      <c r="G450" s="2" t="s">
        <v>185</v>
      </c>
      <c r="H450" s="2" t="s">
        <v>93</v>
      </c>
      <c r="I450" s="2" t="s">
        <v>65</v>
      </c>
      <c r="J450" s="2">
        <v>1</v>
      </c>
      <c r="K450" s="3">
        <v>3.77</v>
      </c>
      <c r="L450" s="3">
        <v>3.77</v>
      </c>
      <c r="M450" s="4">
        <v>0</v>
      </c>
      <c r="N450" s="3">
        <v>0</v>
      </c>
      <c r="O450" s="3">
        <v>3.77</v>
      </c>
      <c r="P450" s="3">
        <v>1.4</v>
      </c>
      <c r="Q450" s="3">
        <v>2.37</v>
      </c>
      <c r="R450" s="2" t="s">
        <v>28</v>
      </c>
      <c r="S450" s="2" t="s">
        <v>87</v>
      </c>
      <c r="T450" s="2" t="s">
        <v>30</v>
      </c>
      <c r="U450" s="2">
        <v>4</v>
      </c>
    </row>
    <row r="451" spans="1:21" x14ac:dyDescent="0.25">
      <c r="A451" s="2" t="s">
        <v>895</v>
      </c>
      <c r="B451" s="2" t="s">
        <v>894</v>
      </c>
      <c r="C451" s="2" t="str">
        <f>TEXT(TransactionsTable500[[#This Row],[Order Date]],"mmm")</f>
        <v>Sep</v>
      </c>
      <c r="D451" s="2" t="s">
        <v>42</v>
      </c>
      <c r="E451" s="2" t="s">
        <v>43</v>
      </c>
      <c r="F451" s="2" t="s">
        <v>44</v>
      </c>
      <c r="G451" s="2" t="s">
        <v>45</v>
      </c>
      <c r="H451" s="2" t="s">
        <v>228</v>
      </c>
      <c r="I451" s="2" t="s">
        <v>65</v>
      </c>
      <c r="J451" s="2">
        <v>3</v>
      </c>
      <c r="K451" s="3">
        <v>3.35</v>
      </c>
      <c r="L451" s="3">
        <v>10.050000000000001</v>
      </c>
      <c r="M451" s="4">
        <v>0</v>
      </c>
      <c r="N451" s="3">
        <v>0</v>
      </c>
      <c r="O451" s="3">
        <v>10.050000000000001</v>
      </c>
      <c r="P451" s="3">
        <v>3.99</v>
      </c>
      <c r="Q451" s="3">
        <v>6.06</v>
      </c>
      <c r="R451" s="2" t="s">
        <v>48</v>
      </c>
      <c r="S451" s="2" t="s">
        <v>66</v>
      </c>
      <c r="T451" s="2" t="s">
        <v>30</v>
      </c>
      <c r="U451" s="2">
        <v>5</v>
      </c>
    </row>
    <row r="452" spans="1:21" x14ac:dyDescent="0.25">
      <c r="A452" s="2" t="s">
        <v>896</v>
      </c>
      <c r="B452" s="2" t="s">
        <v>897</v>
      </c>
      <c r="C452" s="2" t="str">
        <f>TEXT(TransactionsTable500[[#This Row],[Order Date]],"mmm")</f>
        <v>Sep</v>
      </c>
      <c r="D452" s="2" t="s">
        <v>129</v>
      </c>
      <c r="E452" s="2" t="s">
        <v>61</v>
      </c>
      <c r="F452" s="2" t="s">
        <v>62</v>
      </c>
      <c r="G452" s="2" t="s">
        <v>130</v>
      </c>
      <c r="H452" s="2" t="s">
        <v>231</v>
      </c>
      <c r="I452" s="2" t="s">
        <v>100</v>
      </c>
      <c r="J452" s="2">
        <v>1</v>
      </c>
      <c r="K452" s="3">
        <v>4.87</v>
      </c>
      <c r="L452" s="3">
        <v>4.87</v>
      </c>
      <c r="M452" s="4">
        <v>0</v>
      </c>
      <c r="N452" s="3">
        <v>0</v>
      </c>
      <c r="O452" s="3">
        <v>4.87</v>
      </c>
      <c r="P452" s="3">
        <v>1.67</v>
      </c>
      <c r="Q452" s="3">
        <v>3.2</v>
      </c>
      <c r="R452" s="2" t="s">
        <v>48</v>
      </c>
      <c r="S452" s="2" t="s">
        <v>36</v>
      </c>
      <c r="T452" s="2" t="s">
        <v>37</v>
      </c>
      <c r="U452" s="2">
        <v>5</v>
      </c>
    </row>
    <row r="453" spans="1:21" x14ac:dyDescent="0.25">
      <c r="A453" s="2" t="s">
        <v>898</v>
      </c>
      <c r="B453" s="2" t="s">
        <v>899</v>
      </c>
      <c r="C453" s="2" t="str">
        <f>TEXT(TransactionsTable500[[#This Row],[Order Date]],"mmm")</f>
        <v>Sep</v>
      </c>
      <c r="D453" s="2" t="s">
        <v>118</v>
      </c>
      <c r="E453" s="2" t="s">
        <v>119</v>
      </c>
      <c r="F453" s="2" t="s">
        <v>24</v>
      </c>
      <c r="G453" s="2" t="s">
        <v>120</v>
      </c>
      <c r="H453" s="2" t="s">
        <v>86</v>
      </c>
      <c r="I453" s="2" t="s">
        <v>27</v>
      </c>
      <c r="J453" s="2">
        <v>2</v>
      </c>
      <c r="K453" s="3">
        <v>4.38</v>
      </c>
      <c r="L453" s="3">
        <v>8.76</v>
      </c>
      <c r="M453" s="4">
        <v>0</v>
      </c>
      <c r="N453" s="3">
        <v>0</v>
      </c>
      <c r="O453" s="3">
        <v>8.76</v>
      </c>
      <c r="P453" s="3">
        <v>3.38</v>
      </c>
      <c r="Q453" s="3">
        <v>5.38</v>
      </c>
      <c r="R453" s="2" t="s">
        <v>28</v>
      </c>
      <c r="S453" s="2" t="s">
        <v>29</v>
      </c>
      <c r="T453" s="2" t="s">
        <v>30</v>
      </c>
      <c r="U453" s="2">
        <v>4</v>
      </c>
    </row>
    <row r="454" spans="1:21" x14ac:dyDescent="0.25">
      <c r="A454" s="2" t="s">
        <v>900</v>
      </c>
      <c r="B454" s="2" t="s">
        <v>901</v>
      </c>
      <c r="C454" s="2" t="str">
        <f>TEXT(TransactionsTable500[[#This Row],[Order Date]],"mmm")</f>
        <v>Oct</v>
      </c>
      <c r="D454" s="2" t="s">
        <v>40</v>
      </c>
      <c r="E454" s="2" t="s">
        <v>33</v>
      </c>
      <c r="F454" s="2" t="s">
        <v>34</v>
      </c>
      <c r="G454" s="2" t="s">
        <v>35</v>
      </c>
      <c r="H454" s="2" t="s">
        <v>46</v>
      </c>
      <c r="I454" s="2" t="s">
        <v>47</v>
      </c>
      <c r="J454" s="2">
        <v>3</v>
      </c>
      <c r="K454" s="3">
        <v>7.82</v>
      </c>
      <c r="L454" s="3">
        <v>23.46</v>
      </c>
      <c r="M454" s="4">
        <v>0</v>
      </c>
      <c r="N454" s="3">
        <v>0</v>
      </c>
      <c r="O454" s="3">
        <v>23.46</v>
      </c>
      <c r="P454" s="3">
        <v>8.24</v>
      </c>
      <c r="Q454" s="3">
        <v>15.22</v>
      </c>
      <c r="R454" s="2" t="s">
        <v>48</v>
      </c>
      <c r="S454" s="2" t="s">
        <v>29</v>
      </c>
      <c r="T454" s="2" t="s">
        <v>30</v>
      </c>
      <c r="U454" s="2">
        <v>4</v>
      </c>
    </row>
    <row r="455" spans="1:21" x14ac:dyDescent="0.25">
      <c r="A455" s="2" t="s">
        <v>902</v>
      </c>
      <c r="B455" s="2" t="s">
        <v>903</v>
      </c>
      <c r="C455" s="2" t="str">
        <f>TEXT(TransactionsTable500[[#This Row],[Order Date]],"mmm")</f>
        <v>Oct</v>
      </c>
      <c r="D455" s="2" t="s">
        <v>177</v>
      </c>
      <c r="E455" s="2" t="s">
        <v>43</v>
      </c>
      <c r="F455" s="2" t="s">
        <v>44</v>
      </c>
      <c r="G455" s="2" t="s">
        <v>45</v>
      </c>
      <c r="H455" s="2" t="s">
        <v>77</v>
      </c>
      <c r="I455" s="2" t="s">
        <v>47</v>
      </c>
      <c r="J455" s="2">
        <v>3</v>
      </c>
      <c r="K455" s="3">
        <v>6.39</v>
      </c>
      <c r="L455" s="3">
        <v>19.170000000000002</v>
      </c>
      <c r="M455" s="4">
        <v>0</v>
      </c>
      <c r="N455" s="3">
        <v>0</v>
      </c>
      <c r="O455" s="3">
        <v>19.170000000000002</v>
      </c>
      <c r="P455" s="3">
        <v>6.36</v>
      </c>
      <c r="Q455" s="3">
        <v>12.81</v>
      </c>
      <c r="R455" s="2" t="s">
        <v>48</v>
      </c>
      <c r="S455" s="2" t="s">
        <v>87</v>
      </c>
      <c r="T455" s="2" t="s">
        <v>30</v>
      </c>
      <c r="U455" s="2">
        <v>4</v>
      </c>
    </row>
    <row r="456" spans="1:21" x14ac:dyDescent="0.25">
      <c r="A456" s="2" t="s">
        <v>904</v>
      </c>
      <c r="B456" s="2" t="s">
        <v>905</v>
      </c>
      <c r="C456" s="2" t="str">
        <f>TEXT(TransactionsTable500[[#This Row],[Order Date]],"mmm")</f>
        <v>Oct</v>
      </c>
      <c r="D456" s="2" t="s">
        <v>80</v>
      </c>
      <c r="E456" s="2" t="s">
        <v>23</v>
      </c>
      <c r="F456" s="2" t="s">
        <v>24</v>
      </c>
      <c r="G456" s="2" t="s">
        <v>81</v>
      </c>
      <c r="H456" s="2" t="s">
        <v>231</v>
      </c>
      <c r="I456" s="2" t="s">
        <v>100</v>
      </c>
      <c r="J456" s="2">
        <v>4</v>
      </c>
      <c r="K456" s="3">
        <v>4.72</v>
      </c>
      <c r="L456" s="3">
        <v>18.88</v>
      </c>
      <c r="M456" s="4">
        <v>0</v>
      </c>
      <c r="N456" s="3">
        <v>0</v>
      </c>
      <c r="O456" s="3">
        <v>18.88</v>
      </c>
      <c r="P456" s="3">
        <v>6.8</v>
      </c>
      <c r="Q456" s="3">
        <v>12.08</v>
      </c>
      <c r="R456" s="2" t="s">
        <v>48</v>
      </c>
      <c r="S456" s="2" t="s">
        <v>36</v>
      </c>
      <c r="T456" s="2" t="s">
        <v>90</v>
      </c>
      <c r="U456" s="2">
        <v>5</v>
      </c>
    </row>
    <row r="457" spans="1:21" x14ac:dyDescent="0.25">
      <c r="A457" s="2" t="s">
        <v>906</v>
      </c>
      <c r="B457" s="2" t="s">
        <v>905</v>
      </c>
      <c r="C457" s="2" t="str">
        <f>TEXT(TransactionsTable500[[#This Row],[Order Date]],"mmm")</f>
        <v>Oct</v>
      </c>
      <c r="D457" s="2" t="s">
        <v>32</v>
      </c>
      <c r="E457" s="2" t="s">
        <v>33</v>
      </c>
      <c r="F457" s="2" t="s">
        <v>34</v>
      </c>
      <c r="G457" s="2" t="s">
        <v>35</v>
      </c>
      <c r="H457" s="2" t="s">
        <v>231</v>
      </c>
      <c r="I457" s="2" t="s">
        <v>100</v>
      </c>
      <c r="J457" s="2">
        <v>1</v>
      </c>
      <c r="K457" s="3">
        <v>4.78</v>
      </c>
      <c r="L457" s="3">
        <v>4.78</v>
      </c>
      <c r="M457" s="4">
        <v>0</v>
      </c>
      <c r="N457" s="3">
        <v>0</v>
      </c>
      <c r="O457" s="3">
        <v>4.78</v>
      </c>
      <c r="P457" s="3">
        <v>1.73</v>
      </c>
      <c r="Q457" s="3">
        <v>3.05</v>
      </c>
      <c r="R457" s="2" t="s">
        <v>48</v>
      </c>
      <c r="S457" s="2" t="s">
        <v>36</v>
      </c>
      <c r="T457" s="2" t="s">
        <v>30</v>
      </c>
      <c r="U457" s="2">
        <v>5</v>
      </c>
    </row>
    <row r="458" spans="1:21" x14ac:dyDescent="0.25">
      <c r="A458" s="2" t="s">
        <v>907</v>
      </c>
      <c r="B458" s="2" t="s">
        <v>908</v>
      </c>
      <c r="C458" s="2" t="str">
        <f>TEXT(TransactionsTable500[[#This Row],[Order Date]],"mmm")</f>
        <v>Oct</v>
      </c>
      <c r="D458" s="2" t="s">
        <v>69</v>
      </c>
      <c r="E458" s="2" t="s">
        <v>70</v>
      </c>
      <c r="F458" s="2" t="s">
        <v>44</v>
      </c>
      <c r="G458" s="2" t="s">
        <v>71</v>
      </c>
      <c r="H458" s="2" t="s">
        <v>64</v>
      </c>
      <c r="I458" s="2" t="s">
        <v>65</v>
      </c>
      <c r="J458" s="2">
        <v>2</v>
      </c>
      <c r="K458" s="3">
        <v>2.59</v>
      </c>
      <c r="L458" s="3">
        <v>5.18</v>
      </c>
      <c r="M458" s="4">
        <v>0</v>
      </c>
      <c r="N458" s="3">
        <v>0</v>
      </c>
      <c r="O458" s="3">
        <v>5.18</v>
      </c>
      <c r="P458" s="3">
        <v>2.15</v>
      </c>
      <c r="Q458" s="3">
        <v>3.03</v>
      </c>
      <c r="R458" s="2" t="s">
        <v>48</v>
      </c>
      <c r="S458" s="2" t="s">
        <v>29</v>
      </c>
      <c r="T458" s="2" t="s">
        <v>37</v>
      </c>
      <c r="U458" s="2">
        <v>3</v>
      </c>
    </row>
    <row r="459" spans="1:21" x14ac:dyDescent="0.25">
      <c r="A459" s="2" t="s">
        <v>909</v>
      </c>
      <c r="B459" s="2" t="s">
        <v>910</v>
      </c>
      <c r="C459" s="2" t="str">
        <f>TEXT(TransactionsTable500[[#This Row],[Order Date]],"mmm")</f>
        <v>Oct</v>
      </c>
      <c r="D459" s="2" t="s">
        <v>80</v>
      </c>
      <c r="E459" s="2" t="s">
        <v>23</v>
      </c>
      <c r="F459" s="2" t="s">
        <v>24</v>
      </c>
      <c r="G459" s="2" t="s">
        <v>81</v>
      </c>
      <c r="H459" s="2" t="s">
        <v>106</v>
      </c>
      <c r="I459" s="2" t="s">
        <v>100</v>
      </c>
      <c r="J459" s="2">
        <v>1</v>
      </c>
      <c r="K459" s="3">
        <v>3.48</v>
      </c>
      <c r="L459" s="3">
        <v>3.48</v>
      </c>
      <c r="M459" s="4">
        <v>0</v>
      </c>
      <c r="N459" s="3">
        <v>0</v>
      </c>
      <c r="O459" s="3">
        <v>3.48</v>
      </c>
      <c r="P459" s="3">
        <v>1.43</v>
      </c>
      <c r="Q459" s="3">
        <v>2.0499999999999998</v>
      </c>
      <c r="R459" s="2" t="s">
        <v>96</v>
      </c>
      <c r="S459" s="2" t="s">
        <v>87</v>
      </c>
      <c r="T459" s="2" t="s">
        <v>30</v>
      </c>
      <c r="U459" s="2">
        <v>4</v>
      </c>
    </row>
    <row r="460" spans="1:21" x14ac:dyDescent="0.25">
      <c r="A460" s="2" t="s">
        <v>911</v>
      </c>
      <c r="B460" s="2" t="s">
        <v>912</v>
      </c>
      <c r="C460" s="2" t="str">
        <f>TEXT(TransactionsTable500[[#This Row],[Order Date]],"mmm")</f>
        <v>Oct</v>
      </c>
      <c r="D460" s="2" t="s">
        <v>143</v>
      </c>
      <c r="E460" s="2" t="s">
        <v>43</v>
      </c>
      <c r="F460" s="2" t="s">
        <v>44</v>
      </c>
      <c r="G460" s="2" t="s">
        <v>144</v>
      </c>
      <c r="H460" s="2" t="s">
        <v>106</v>
      </c>
      <c r="I460" s="2" t="s">
        <v>100</v>
      </c>
      <c r="J460" s="2">
        <v>3</v>
      </c>
      <c r="K460" s="3">
        <v>3.65</v>
      </c>
      <c r="L460" s="3">
        <v>10.95</v>
      </c>
      <c r="M460" s="4">
        <v>0</v>
      </c>
      <c r="N460" s="3">
        <v>0</v>
      </c>
      <c r="O460" s="3">
        <v>10.95</v>
      </c>
      <c r="P460" s="3">
        <v>4.01</v>
      </c>
      <c r="Q460" s="3">
        <v>6.94</v>
      </c>
      <c r="R460" s="2" t="s">
        <v>48</v>
      </c>
      <c r="S460" s="2" t="s">
        <v>87</v>
      </c>
      <c r="T460" s="2" t="s">
        <v>37</v>
      </c>
      <c r="U460" s="2">
        <v>5</v>
      </c>
    </row>
    <row r="461" spans="1:21" x14ac:dyDescent="0.25">
      <c r="A461" s="2" t="s">
        <v>913</v>
      </c>
      <c r="B461" s="2" t="s">
        <v>912</v>
      </c>
      <c r="C461" s="2" t="str">
        <f>TEXT(TransactionsTable500[[#This Row],[Order Date]],"mmm")</f>
        <v>Oct</v>
      </c>
      <c r="D461" s="2" t="s">
        <v>212</v>
      </c>
      <c r="E461" s="2" t="s">
        <v>184</v>
      </c>
      <c r="F461" s="2" t="s">
        <v>62</v>
      </c>
      <c r="G461" s="2" t="s">
        <v>213</v>
      </c>
      <c r="H461" s="2" t="s">
        <v>157</v>
      </c>
      <c r="I461" s="2" t="s">
        <v>47</v>
      </c>
      <c r="J461" s="2">
        <v>5</v>
      </c>
      <c r="K461" s="3">
        <v>7.74</v>
      </c>
      <c r="L461" s="3">
        <v>38.700000000000003</v>
      </c>
      <c r="M461" s="4">
        <v>0</v>
      </c>
      <c r="N461" s="3">
        <v>0</v>
      </c>
      <c r="O461" s="3">
        <v>38.700000000000003</v>
      </c>
      <c r="P461" s="3">
        <v>14.15</v>
      </c>
      <c r="Q461" s="3">
        <v>24.55</v>
      </c>
      <c r="R461" s="2" t="s">
        <v>28</v>
      </c>
      <c r="S461" s="2" t="s">
        <v>66</v>
      </c>
      <c r="T461" s="2" t="s">
        <v>37</v>
      </c>
      <c r="U461" s="2">
        <v>5</v>
      </c>
    </row>
    <row r="462" spans="1:21" x14ac:dyDescent="0.25">
      <c r="A462" s="2" t="s">
        <v>914</v>
      </c>
      <c r="B462" s="2" t="s">
        <v>915</v>
      </c>
      <c r="C462" s="2" t="str">
        <f>TEXT(TransactionsTable500[[#This Row],[Order Date]],"mmm")</f>
        <v>Oct</v>
      </c>
      <c r="D462" s="2" t="s">
        <v>216</v>
      </c>
      <c r="E462" s="2" t="s">
        <v>61</v>
      </c>
      <c r="F462" s="2" t="s">
        <v>62</v>
      </c>
      <c r="G462" s="2" t="s">
        <v>217</v>
      </c>
      <c r="H462" s="2" t="s">
        <v>46</v>
      </c>
      <c r="I462" s="2" t="s">
        <v>47</v>
      </c>
      <c r="J462" s="2">
        <v>2</v>
      </c>
      <c r="K462" s="3">
        <v>7.92</v>
      </c>
      <c r="L462" s="3">
        <v>15.84</v>
      </c>
      <c r="M462" s="4">
        <v>0</v>
      </c>
      <c r="N462" s="3">
        <v>0</v>
      </c>
      <c r="O462" s="3">
        <v>15.84</v>
      </c>
      <c r="P462" s="3">
        <v>5.94</v>
      </c>
      <c r="Q462" s="3">
        <v>9.9</v>
      </c>
      <c r="R462" s="2" t="s">
        <v>28</v>
      </c>
      <c r="S462" s="2" t="s">
        <v>36</v>
      </c>
      <c r="T462" s="2" t="s">
        <v>90</v>
      </c>
      <c r="U462" s="2">
        <v>1</v>
      </c>
    </row>
    <row r="463" spans="1:21" x14ac:dyDescent="0.25">
      <c r="A463" s="2" t="s">
        <v>916</v>
      </c>
      <c r="B463" s="2" t="s">
        <v>917</v>
      </c>
      <c r="C463" s="2" t="str">
        <f>TEXT(TransactionsTable500[[#This Row],[Order Date]],"mmm")</f>
        <v>Oct</v>
      </c>
      <c r="D463" s="2" t="s">
        <v>80</v>
      </c>
      <c r="E463" s="2" t="s">
        <v>23</v>
      </c>
      <c r="F463" s="2" t="s">
        <v>24</v>
      </c>
      <c r="G463" s="2" t="s">
        <v>81</v>
      </c>
      <c r="H463" s="2" t="s">
        <v>53</v>
      </c>
      <c r="I463" s="2" t="s">
        <v>27</v>
      </c>
      <c r="J463" s="2">
        <v>2</v>
      </c>
      <c r="K463" s="3">
        <v>3.75</v>
      </c>
      <c r="L463" s="3">
        <v>7.5</v>
      </c>
      <c r="M463" s="4">
        <v>0.05</v>
      </c>
      <c r="N463" s="3">
        <v>0.38</v>
      </c>
      <c r="O463" s="3">
        <v>7.12</v>
      </c>
      <c r="P463" s="3">
        <v>2.39</v>
      </c>
      <c r="Q463" s="3">
        <v>4.7300000000000004</v>
      </c>
      <c r="R463" s="2" t="s">
        <v>28</v>
      </c>
      <c r="S463" s="2" t="s">
        <v>87</v>
      </c>
      <c r="T463" s="2" t="s">
        <v>37</v>
      </c>
      <c r="U463" s="2">
        <v>5</v>
      </c>
    </row>
    <row r="464" spans="1:21" x14ac:dyDescent="0.25">
      <c r="A464" s="2" t="s">
        <v>918</v>
      </c>
      <c r="B464" s="2" t="s">
        <v>919</v>
      </c>
      <c r="C464" s="2" t="str">
        <f>TEXT(TransactionsTable500[[#This Row],[Order Date]],"mmm")</f>
        <v>Oct</v>
      </c>
      <c r="D464" s="2" t="s">
        <v>22</v>
      </c>
      <c r="E464" s="2" t="s">
        <v>23</v>
      </c>
      <c r="F464" s="2" t="s">
        <v>24</v>
      </c>
      <c r="G464" s="2" t="s">
        <v>25</v>
      </c>
      <c r="H464" s="2" t="s">
        <v>112</v>
      </c>
      <c r="I464" s="2" t="s">
        <v>100</v>
      </c>
      <c r="J464" s="2">
        <v>2</v>
      </c>
      <c r="K464" s="3">
        <v>3.68</v>
      </c>
      <c r="L464" s="3">
        <v>7.36</v>
      </c>
      <c r="M464" s="4">
        <v>0</v>
      </c>
      <c r="N464" s="3">
        <v>0</v>
      </c>
      <c r="O464" s="3">
        <v>7.36</v>
      </c>
      <c r="P464" s="3">
        <v>2.8</v>
      </c>
      <c r="Q464" s="3">
        <v>4.5599999999999996</v>
      </c>
      <c r="R464" s="2" t="s">
        <v>48</v>
      </c>
      <c r="S464" s="2" t="s">
        <v>29</v>
      </c>
      <c r="T464" s="2" t="s">
        <v>37</v>
      </c>
      <c r="U464" s="2">
        <v>5</v>
      </c>
    </row>
    <row r="465" spans="1:21" x14ac:dyDescent="0.25">
      <c r="A465" s="2" t="s">
        <v>920</v>
      </c>
      <c r="B465" s="2" t="s">
        <v>921</v>
      </c>
      <c r="C465" s="2" t="str">
        <f>TEXT(TransactionsTable500[[#This Row],[Order Date]],"mmm")</f>
        <v>Oct</v>
      </c>
      <c r="D465" s="2" t="s">
        <v>22</v>
      </c>
      <c r="E465" s="2" t="s">
        <v>23</v>
      </c>
      <c r="F465" s="2" t="s">
        <v>24</v>
      </c>
      <c r="G465" s="2" t="s">
        <v>25</v>
      </c>
      <c r="H465" s="2" t="s">
        <v>86</v>
      </c>
      <c r="I465" s="2" t="s">
        <v>27</v>
      </c>
      <c r="J465" s="2">
        <v>1</v>
      </c>
      <c r="K465" s="3">
        <v>4.6100000000000003</v>
      </c>
      <c r="L465" s="3">
        <v>4.6100000000000003</v>
      </c>
      <c r="M465" s="4">
        <v>0</v>
      </c>
      <c r="N465" s="3">
        <v>0</v>
      </c>
      <c r="O465" s="3">
        <v>4.6100000000000003</v>
      </c>
      <c r="P465" s="3">
        <v>1.82</v>
      </c>
      <c r="Q465" s="3">
        <v>2.79</v>
      </c>
      <c r="R465" s="2" t="s">
        <v>48</v>
      </c>
      <c r="S465" s="2" t="s">
        <v>36</v>
      </c>
      <c r="T465" s="2" t="s">
        <v>90</v>
      </c>
      <c r="U465" s="2">
        <v>5</v>
      </c>
    </row>
    <row r="466" spans="1:21" x14ac:dyDescent="0.25">
      <c r="A466" s="2" t="s">
        <v>922</v>
      </c>
      <c r="B466" s="2" t="s">
        <v>921</v>
      </c>
      <c r="C466" s="2" t="str">
        <f>TEXT(TransactionsTable500[[#This Row],[Order Date]],"mmm")</f>
        <v>Oct</v>
      </c>
      <c r="D466" s="2" t="s">
        <v>60</v>
      </c>
      <c r="E466" s="2" t="s">
        <v>61</v>
      </c>
      <c r="F466" s="2" t="s">
        <v>62</v>
      </c>
      <c r="G466" s="2" t="s">
        <v>63</v>
      </c>
      <c r="H466" s="2" t="s">
        <v>122</v>
      </c>
      <c r="I466" s="2" t="s">
        <v>47</v>
      </c>
      <c r="J466" s="2">
        <v>1</v>
      </c>
      <c r="K466" s="3">
        <v>6.93</v>
      </c>
      <c r="L466" s="3">
        <v>6.93</v>
      </c>
      <c r="M466" s="4">
        <v>0</v>
      </c>
      <c r="N466" s="3">
        <v>0</v>
      </c>
      <c r="O466" s="3">
        <v>6.93</v>
      </c>
      <c r="P466" s="3">
        <v>2.81</v>
      </c>
      <c r="Q466" s="3">
        <v>4.12</v>
      </c>
      <c r="R466" s="2" t="s">
        <v>28</v>
      </c>
      <c r="S466" s="2" t="s">
        <v>66</v>
      </c>
      <c r="T466" s="2" t="s">
        <v>30</v>
      </c>
      <c r="U466" s="2">
        <v>5</v>
      </c>
    </row>
    <row r="467" spans="1:21" x14ac:dyDescent="0.25">
      <c r="A467" s="2" t="s">
        <v>923</v>
      </c>
      <c r="B467" s="2" t="s">
        <v>924</v>
      </c>
      <c r="C467" s="2" t="str">
        <f>TEXT(TransactionsTable500[[#This Row],[Order Date]],"mmm")</f>
        <v>Oct</v>
      </c>
      <c r="D467" s="2" t="s">
        <v>165</v>
      </c>
      <c r="E467" s="2" t="s">
        <v>61</v>
      </c>
      <c r="F467" s="2" t="s">
        <v>62</v>
      </c>
      <c r="G467" s="2" t="s">
        <v>130</v>
      </c>
      <c r="H467" s="2" t="s">
        <v>203</v>
      </c>
      <c r="I467" s="2" t="s">
        <v>100</v>
      </c>
      <c r="J467" s="2">
        <v>2</v>
      </c>
      <c r="K467" s="3">
        <v>4</v>
      </c>
      <c r="L467" s="3">
        <v>8</v>
      </c>
      <c r="M467" s="4">
        <v>0</v>
      </c>
      <c r="N467" s="3">
        <v>0</v>
      </c>
      <c r="O467" s="3">
        <v>8</v>
      </c>
      <c r="P467" s="3">
        <v>3.28</v>
      </c>
      <c r="Q467" s="3">
        <v>4.72</v>
      </c>
      <c r="R467" s="2" t="s">
        <v>96</v>
      </c>
      <c r="S467" s="2" t="s">
        <v>66</v>
      </c>
      <c r="T467" s="2" t="s">
        <v>37</v>
      </c>
      <c r="U467" s="2">
        <v>4</v>
      </c>
    </row>
    <row r="468" spans="1:21" x14ac:dyDescent="0.25">
      <c r="A468" s="2" t="s">
        <v>925</v>
      </c>
      <c r="B468" s="2" t="s">
        <v>926</v>
      </c>
      <c r="C468" s="2" t="str">
        <f>TEXT(TransactionsTable500[[#This Row],[Order Date]],"mmm")</f>
        <v>Oct</v>
      </c>
      <c r="D468" s="2" t="s">
        <v>143</v>
      </c>
      <c r="E468" s="2" t="s">
        <v>43</v>
      </c>
      <c r="F468" s="2" t="s">
        <v>44</v>
      </c>
      <c r="G468" s="2" t="s">
        <v>144</v>
      </c>
      <c r="H468" s="2" t="s">
        <v>86</v>
      </c>
      <c r="I468" s="2" t="s">
        <v>27</v>
      </c>
      <c r="J468" s="2">
        <v>1</v>
      </c>
      <c r="K468" s="3">
        <v>4.71</v>
      </c>
      <c r="L468" s="3">
        <v>4.71</v>
      </c>
      <c r="M468" s="4">
        <v>0</v>
      </c>
      <c r="N468" s="3">
        <v>0</v>
      </c>
      <c r="O468" s="3">
        <v>4.71</v>
      </c>
      <c r="P468" s="3">
        <v>1.87</v>
      </c>
      <c r="Q468" s="3">
        <v>2.84</v>
      </c>
      <c r="R468" s="2" t="s">
        <v>48</v>
      </c>
      <c r="S468" s="2" t="s">
        <v>29</v>
      </c>
      <c r="T468" s="2" t="s">
        <v>90</v>
      </c>
      <c r="U468" s="2">
        <v>1</v>
      </c>
    </row>
    <row r="469" spans="1:21" x14ac:dyDescent="0.25">
      <c r="A469" s="2" t="s">
        <v>927</v>
      </c>
      <c r="B469" s="2" t="s">
        <v>926</v>
      </c>
      <c r="C469" s="2" t="str">
        <f>TEXT(TransactionsTable500[[#This Row],[Order Date]],"mmm")</f>
        <v>Oct</v>
      </c>
      <c r="D469" s="2" t="s">
        <v>42</v>
      </c>
      <c r="E469" s="2" t="s">
        <v>43</v>
      </c>
      <c r="F469" s="2" t="s">
        <v>44</v>
      </c>
      <c r="G469" s="2" t="s">
        <v>45</v>
      </c>
      <c r="H469" s="2" t="s">
        <v>99</v>
      </c>
      <c r="I469" s="2" t="s">
        <v>100</v>
      </c>
      <c r="J469" s="2">
        <v>2</v>
      </c>
      <c r="K469" s="3">
        <v>4.6399999999999997</v>
      </c>
      <c r="L469" s="3">
        <v>9.2799999999999994</v>
      </c>
      <c r="M469" s="4">
        <v>0</v>
      </c>
      <c r="N469" s="3">
        <v>0</v>
      </c>
      <c r="O469" s="3">
        <v>9.2799999999999994</v>
      </c>
      <c r="P469" s="3">
        <v>3.53</v>
      </c>
      <c r="Q469" s="3">
        <v>5.75</v>
      </c>
      <c r="R469" s="2" t="s">
        <v>96</v>
      </c>
      <c r="S469" s="2" t="s">
        <v>29</v>
      </c>
      <c r="T469" s="2" t="s">
        <v>30</v>
      </c>
      <c r="U469" s="2">
        <v>5</v>
      </c>
    </row>
    <row r="470" spans="1:21" x14ac:dyDescent="0.25">
      <c r="A470" s="2" t="s">
        <v>928</v>
      </c>
      <c r="B470" s="2" t="s">
        <v>929</v>
      </c>
      <c r="C470" s="2" t="str">
        <f>TEXT(TransactionsTable500[[#This Row],[Order Date]],"mmm")</f>
        <v>Oct</v>
      </c>
      <c r="D470" s="2" t="s">
        <v>84</v>
      </c>
      <c r="E470" s="2" t="s">
        <v>61</v>
      </c>
      <c r="F470" s="2" t="s">
        <v>62</v>
      </c>
      <c r="G470" s="2" t="s">
        <v>85</v>
      </c>
      <c r="H470" s="2" t="s">
        <v>93</v>
      </c>
      <c r="I470" s="2" t="s">
        <v>65</v>
      </c>
      <c r="J470" s="2">
        <v>1</v>
      </c>
      <c r="K470" s="3">
        <v>3.54</v>
      </c>
      <c r="L470" s="3">
        <v>3.54</v>
      </c>
      <c r="M470" s="4">
        <v>0</v>
      </c>
      <c r="N470" s="3">
        <v>0</v>
      </c>
      <c r="O470" s="3">
        <v>3.54</v>
      </c>
      <c r="P470" s="3">
        <v>1.18</v>
      </c>
      <c r="Q470" s="3">
        <v>2.36</v>
      </c>
      <c r="R470" s="2" t="s">
        <v>28</v>
      </c>
      <c r="S470" s="2" t="s">
        <v>87</v>
      </c>
      <c r="T470" s="2" t="s">
        <v>30</v>
      </c>
      <c r="U470" s="2">
        <v>5</v>
      </c>
    </row>
    <row r="471" spans="1:21" x14ac:dyDescent="0.25">
      <c r="A471" s="2" t="s">
        <v>930</v>
      </c>
      <c r="B471" s="2" t="s">
        <v>931</v>
      </c>
      <c r="C471" s="2" t="str">
        <f>TEXT(TransactionsTable500[[#This Row],[Order Date]],"mmm")</f>
        <v>Nov</v>
      </c>
      <c r="D471" s="2" t="s">
        <v>133</v>
      </c>
      <c r="E471" s="2" t="s">
        <v>119</v>
      </c>
      <c r="F471" s="2" t="s">
        <v>24</v>
      </c>
      <c r="G471" s="2" t="s">
        <v>134</v>
      </c>
      <c r="H471" s="2" t="s">
        <v>169</v>
      </c>
      <c r="I471" s="2" t="s">
        <v>65</v>
      </c>
      <c r="J471" s="2">
        <v>3</v>
      </c>
      <c r="K471" s="3">
        <v>3.12</v>
      </c>
      <c r="L471" s="3">
        <v>9.36</v>
      </c>
      <c r="M471" s="4">
        <v>0</v>
      </c>
      <c r="N471" s="3">
        <v>0</v>
      </c>
      <c r="O471" s="3">
        <v>9.36</v>
      </c>
      <c r="P471" s="3">
        <v>3.35</v>
      </c>
      <c r="Q471" s="3">
        <v>6.01</v>
      </c>
      <c r="R471" s="2" t="s">
        <v>28</v>
      </c>
      <c r="S471" s="2" t="s">
        <v>29</v>
      </c>
      <c r="T471" s="2" t="s">
        <v>30</v>
      </c>
      <c r="U471" s="2">
        <v>3</v>
      </c>
    </row>
    <row r="472" spans="1:21" x14ac:dyDescent="0.25">
      <c r="A472" s="2" t="s">
        <v>932</v>
      </c>
      <c r="B472" s="2" t="s">
        <v>933</v>
      </c>
      <c r="C472" s="2" t="str">
        <f>TEXT(TransactionsTable500[[#This Row],[Order Date]],"mmm")</f>
        <v>Nov</v>
      </c>
      <c r="D472" s="2" t="s">
        <v>143</v>
      </c>
      <c r="E472" s="2" t="s">
        <v>43</v>
      </c>
      <c r="F472" s="2" t="s">
        <v>44</v>
      </c>
      <c r="G472" s="2" t="s">
        <v>144</v>
      </c>
      <c r="H472" s="2" t="s">
        <v>157</v>
      </c>
      <c r="I472" s="2" t="s">
        <v>47</v>
      </c>
      <c r="J472" s="2">
        <v>4</v>
      </c>
      <c r="K472" s="3">
        <v>8.19</v>
      </c>
      <c r="L472" s="3">
        <v>32.76</v>
      </c>
      <c r="M472" s="4">
        <v>0.05</v>
      </c>
      <c r="N472" s="3">
        <v>1.64</v>
      </c>
      <c r="O472" s="3">
        <v>31.12</v>
      </c>
      <c r="P472" s="3">
        <v>11.33</v>
      </c>
      <c r="Q472" s="3">
        <v>19.79</v>
      </c>
      <c r="R472" s="2" t="s">
        <v>28</v>
      </c>
      <c r="S472" s="2" t="s">
        <v>66</v>
      </c>
      <c r="T472" s="2" t="s">
        <v>90</v>
      </c>
      <c r="U472" s="2">
        <v>5</v>
      </c>
    </row>
    <row r="473" spans="1:21" x14ac:dyDescent="0.25">
      <c r="A473" s="2" t="s">
        <v>934</v>
      </c>
      <c r="B473" s="2" t="s">
        <v>935</v>
      </c>
      <c r="C473" s="2" t="str">
        <f>TEXT(TransactionsTable500[[#This Row],[Order Date]],"mmm")</f>
        <v>Nov</v>
      </c>
      <c r="D473" s="2" t="s">
        <v>270</v>
      </c>
      <c r="E473" s="2" t="s">
        <v>70</v>
      </c>
      <c r="F473" s="2" t="s">
        <v>44</v>
      </c>
      <c r="G473" s="2" t="s">
        <v>200</v>
      </c>
      <c r="H473" s="2" t="s">
        <v>231</v>
      </c>
      <c r="I473" s="2" t="s">
        <v>100</v>
      </c>
      <c r="J473" s="2">
        <v>1</v>
      </c>
      <c r="K473" s="3">
        <v>4.59</v>
      </c>
      <c r="L473" s="3">
        <v>4.59</v>
      </c>
      <c r="M473" s="4">
        <v>0.1</v>
      </c>
      <c r="N473" s="3">
        <v>0.46</v>
      </c>
      <c r="O473" s="3">
        <v>4.13</v>
      </c>
      <c r="P473" s="3">
        <v>1.44</v>
      </c>
      <c r="Q473" s="3">
        <v>2.69</v>
      </c>
      <c r="R473" s="2" t="s">
        <v>96</v>
      </c>
      <c r="S473" s="2" t="s">
        <v>29</v>
      </c>
      <c r="T473" s="2" t="s">
        <v>30</v>
      </c>
      <c r="U473" s="2">
        <v>2</v>
      </c>
    </row>
    <row r="474" spans="1:21" x14ac:dyDescent="0.25">
      <c r="A474" s="2" t="s">
        <v>936</v>
      </c>
      <c r="B474" s="2" t="s">
        <v>937</v>
      </c>
      <c r="C474" s="2" t="str">
        <f>TEXT(TransactionsTable500[[#This Row],[Order Date]],"mmm")</f>
        <v>Nov</v>
      </c>
      <c r="D474" s="2" t="s">
        <v>60</v>
      </c>
      <c r="E474" s="2" t="s">
        <v>61</v>
      </c>
      <c r="F474" s="2" t="s">
        <v>62</v>
      </c>
      <c r="G474" s="2" t="s">
        <v>63</v>
      </c>
      <c r="H474" s="2" t="s">
        <v>93</v>
      </c>
      <c r="I474" s="2" t="s">
        <v>65</v>
      </c>
      <c r="J474" s="2">
        <v>3</v>
      </c>
      <c r="K474" s="3">
        <v>3.6</v>
      </c>
      <c r="L474" s="3">
        <v>10.8</v>
      </c>
      <c r="M474" s="4">
        <v>0</v>
      </c>
      <c r="N474" s="3">
        <v>0</v>
      </c>
      <c r="O474" s="3">
        <v>10.8</v>
      </c>
      <c r="P474" s="3">
        <v>3.5</v>
      </c>
      <c r="Q474" s="3">
        <v>7.3</v>
      </c>
      <c r="R474" s="2" t="s">
        <v>28</v>
      </c>
      <c r="S474" s="2" t="s">
        <v>66</v>
      </c>
      <c r="T474" s="2" t="s">
        <v>30</v>
      </c>
      <c r="U474" s="2">
        <v>3</v>
      </c>
    </row>
    <row r="475" spans="1:21" x14ac:dyDescent="0.25">
      <c r="A475" s="2" t="s">
        <v>938</v>
      </c>
      <c r="B475" s="2" t="s">
        <v>937</v>
      </c>
      <c r="C475" s="2" t="str">
        <f>TEXT(TransactionsTable500[[#This Row],[Order Date]],"mmm")</f>
        <v>Nov</v>
      </c>
      <c r="D475" s="2" t="s">
        <v>139</v>
      </c>
      <c r="E475" s="2" t="s">
        <v>70</v>
      </c>
      <c r="F475" s="2" t="s">
        <v>44</v>
      </c>
      <c r="G475" s="2" t="s">
        <v>71</v>
      </c>
      <c r="H475" s="2" t="s">
        <v>99</v>
      </c>
      <c r="I475" s="2" t="s">
        <v>100</v>
      </c>
      <c r="J475" s="2">
        <v>1</v>
      </c>
      <c r="K475" s="3">
        <v>4.4000000000000004</v>
      </c>
      <c r="L475" s="3">
        <v>4.4000000000000004</v>
      </c>
      <c r="M475" s="4">
        <v>0</v>
      </c>
      <c r="N475" s="3">
        <v>0</v>
      </c>
      <c r="O475" s="3">
        <v>4.4000000000000004</v>
      </c>
      <c r="P475" s="3">
        <v>1.51</v>
      </c>
      <c r="Q475" s="3">
        <v>2.89</v>
      </c>
      <c r="R475" s="2" t="s">
        <v>48</v>
      </c>
      <c r="S475" s="2" t="s">
        <v>29</v>
      </c>
      <c r="T475" s="2" t="s">
        <v>30</v>
      </c>
      <c r="U475" s="2">
        <v>5</v>
      </c>
    </row>
    <row r="476" spans="1:21" x14ac:dyDescent="0.25">
      <c r="A476" s="2" t="s">
        <v>939</v>
      </c>
      <c r="B476" s="2" t="s">
        <v>940</v>
      </c>
      <c r="C476" s="2" t="str">
        <f>TEXT(TransactionsTable500[[#This Row],[Order Date]],"mmm")</f>
        <v>Nov</v>
      </c>
      <c r="D476" s="2" t="s">
        <v>212</v>
      </c>
      <c r="E476" s="2" t="s">
        <v>184</v>
      </c>
      <c r="F476" s="2" t="s">
        <v>62</v>
      </c>
      <c r="G476" s="2" t="s">
        <v>213</v>
      </c>
      <c r="H476" s="2" t="s">
        <v>72</v>
      </c>
      <c r="I476" s="2" t="s">
        <v>58</v>
      </c>
      <c r="J476" s="2">
        <v>1</v>
      </c>
      <c r="K476" s="3">
        <v>15.51</v>
      </c>
      <c r="L476" s="3">
        <v>15.51</v>
      </c>
      <c r="M476" s="4">
        <v>0</v>
      </c>
      <c r="N476" s="3">
        <v>0</v>
      </c>
      <c r="O476" s="3">
        <v>15.51</v>
      </c>
      <c r="P476" s="3">
        <v>5.77</v>
      </c>
      <c r="Q476" s="3">
        <v>9.74</v>
      </c>
      <c r="R476" s="2" t="s">
        <v>48</v>
      </c>
      <c r="S476" s="2" t="s">
        <v>87</v>
      </c>
      <c r="T476" s="2" t="s">
        <v>90</v>
      </c>
      <c r="U476" s="2">
        <v>2</v>
      </c>
    </row>
    <row r="477" spans="1:21" x14ac:dyDescent="0.25">
      <c r="A477" s="2" t="s">
        <v>941</v>
      </c>
      <c r="B477" s="2" t="s">
        <v>940</v>
      </c>
      <c r="C477" s="2" t="str">
        <f>TEXT(TransactionsTable500[[#This Row],[Order Date]],"mmm")</f>
        <v>Nov</v>
      </c>
      <c r="D477" s="2" t="s">
        <v>118</v>
      </c>
      <c r="E477" s="2" t="s">
        <v>119</v>
      </c>
      <c r="F477" s="2" t="s">
        <v>24</v>
      </c>
      <c r="G477" s="2" t="s">
        <v>120</v>
      </c>
      <c r="H477" s="2" t="s">
        <v>103</v>
      </c>
      <c r="I477" s="2" t="s">
        <v>27</v>
      </c>
      <c r="J477" s="2">
        <v>1</v>
      </c>
      <c r="K477" s="3">
        <v>4.71</v>
      </c>
      <c r="L477" s="3">
        <v>4.71</v>
      </c>
      <c r="M477" s="4">
        <v>0</v>
      </c>
      <c r="N477" s="3">
        <v>0</v>
      </c>
      <c r="O477" s="3">
        <v>4.71</v>
      </c>
      <c r="P477" s="3">
        <v>1.69</v>
      </c>
      <c r="Q477" s="3">
        <v>3.02</v>
      </c>
      <c r="R477" s="2" t="s">
        <v>48</v>
      </c>
      <c r="S477" s="2" t="s">
        <v>29</v>
      </c>
      <c r="T477" s="2" t="s">
        <v>37</v>
      </c>
      <c r="U477" s="2">
        <v>5</v>
      </c>
    </row>
    <row r="478" spans="1:21" x14ac:dyDescent="0.25">
      <c r="A478" s="2" t="s">
        <v>942</v>
      </c>
      <c r="B478" s="2" t="s">
        <v>940</v>
      </c>
      <c r="C478" s="2" t="str">
        <f>TEXT(TransactionsTable500[[#This Row],[Order Date]],"mmm")</f>
        <v>Nov</v>
      </c>
      <c r="D478" s="2" t="s">
        <v>165</v>
      </c>
      <c r="E478" s="2" t="s">
        <v>61</v>
      </c>
      <c r="F478" s="2" t="s">
        <v>62</v>
      </c>
      <c r="G478" s="2" t="s">
        <v>130</v>
      </c>
      <c r="H478" s="2" t="s">
        <v>72</v>
      </c>
      <c r="I478" s="2" t="s">
        <v>58</v>
      </c>
      <c r="J478" s="2">
        <v>4</v>
      </c>
      <c r="K478" s="3">
        <v>14.26</v>
      </c>
      <c r="L478" s="3">
        <v>57.04</v>
      </c>
      <c r="M478" s="4">
        <v>0.1</v>
      </c>
      <c r="N478" s="3">
        <v>5.7</v>
      </c>
      <c r="O478" s="3">
        <v>51.34</v>
      </c>
      <c r="P478" s="3">
        <v>20.7</v>
      </c>
      <c r="Q478" s="3">
        <v>30.64</v>
      </c>
      <c r="R478" s="2" t="s">
        <v>28</v>
      </c>
      <c r="S478" s="2" t="s">
        <v>36</v>
      </c>
      <c r="T478" s="2" t="s">
        <v>90</v>
      </c>
      <c r="U478" s="2">
        <v>5</v>
      </c>
    </row>
    <row r="479" spans="1:21" x14ac:dyDescent="0.25">
      <c r="A479" s="2" t="s">
        <v>943</v>
      </c>
      <c r="B479" s="2" t="s">
        <v>944</v>
      </c>
      <c r="C479" s="2" t="str">
        <f>TEXT(TransactionsTable500[[#This Row],[Order Date]],"mmm")</f>
        <v>Nov</v>
      </c>
      <c r="D479" s="2" t="s">
        <v>165</v>
      </c>
      <c r="E479" s="2" t="s">
        <v>61</v>
      </c>
      <c r="F479" s="2" t="s">
        <v>62</v>
      </c>
      <c r="G479" s="2" t="s">
        <v>130</v>
      </c>
      <c r="H479" s="2" t="s">
        <v>140</v>
      </c>
      <c r="I479" s="2" t="s">
        <v>58</v>
      </c>
      <c r="J479" s="2">
        <v>1</v>
      </c>
      <c r="K479" s="3">
        <v>12.97</v>
      </c>
      <c r="L479" s="3">
        <v>12.97</v>
      </c>
      <c r="M479" s="4">
        <v>0</v>
      </c>
      <c r="N479" s="3">
        <v>0</v>
      </c>
      <c r="O479" s="3">
        <v>12.97</v>
      </c>
      <c r="P479" s="3">
        <v>4.96</v>
      </c>
      <c r="Q479" s="3">
        <v>8.01</v>
      </c>
      <c r="R479" s="2" t="s">
        <v>48</v>
      </c>
      <c r="S479" s="2" t="s">
        <v>66</v>
      </c>
      <c r="T479" s="2" t="s">
        <v>90</v>
      </c>
      <c r="U479" s="2">
        <v>4</v>
      </c>
    </row>
    <row r="480" spans="1:21" x14ac:dyDescent="0.25">
      <c r="A480" s="2" t="s">
        <v>945</v>
      </c>
      <c r="B480" s="2" t="s">
        <v>946</v>
      </c>
      <c r="C480" s="2" t="str">
        <f>TEXT(TransactionsTable500[[#This Row],[Order Date]],"mmm")</f>
        <v>Nov</v>
      </c>
      <c r="D480" s="2" t="s">
        <v>55</v>
      </c>
      <c r="E480" s="2" t="s">
        <v>43</v>
      </c>
      <c r="F480" s="2" t="s">
        <v>44</v>
      </c>
      <c r="G480" s="2" t="s">
        <v>56</v>
      </c>
      <c r="H480" s="2" t="s">
        <v>77</v>
      </c>
      <c r="I480" s="2" t="s">
        <v>47</v>
      </c>
      <c r="J480" s="2">
        <v>3</v>
      </c>
      <c r="K480" s="3">
        <v>6.53</v>
      </c>
      <c r="L480" s="3">
        <v>19.59</v>
      </c>
      <c r="M480" s="4">
        <v>0.1</v>
      </c>
      <c r="N480" s="3">
        <v>1.96</v>
      </c>
      <c r="O480" s="3">
        <v>17.63</v>
      </c>
      <c r="P480" s="3">
        <v>5.93</v>
      </c>
      <c r="Q480" s="3">
        <v>11.7</v>
      </c>
      <c r="R480" s="2" t="s">
        <v>28</v>
      </c>
      <c r="S480" s="2" t="s">
        <v>29</v>
      </c>
      <c r="T480" s="2" t="s">
        <v>90</v>
      </c>
      <c r="U480" s="2">
        <v>1</v>
      </c>
    </row>
    <row r="481" spans="1:21" x14ac:dyDescent="0.25">
      <c r="A481" s="2" t="s">
        <v>947</v>
      </c>
      <c r="B481" s="2" t="s">
        <v>948</v>
      </c>
      <c r="C481" s="2" t="str">
        <f>TEXT(TransactionsTable500[[#This Row],[Order Date]],"mmm")</f>
        <v>Nov</v>
      </c>
      <c r="D481" s="2" t="s">
        <v>80</v>
      </c>
      <c r="E481" s="2" t="s">
        <v>23</v>
      </c>
      <c r="F481" s="2" t="s">
        <v>24</v>
      </c>
      <c r="G481" s="2" t="s">
        <v>81</v>
      </c>
      <c r="H481" s="2" t="s">
        <v>99</v>
      </c>
      <c r="I481" s="2" t="s">
        <v>100</v>
      </c>
      <c r="J481" s="2">
        <v>1</v>
      </c>
      <c r="K481" s="3">
        <v>4.43</v>
      </c>
      <c r="L481" s="3">
        <v>4.43</v>
      </c>
      <c r="M481" s="4">
        <v>0</v>
      </c>
      <c r="N481" s="3">
        <v>0</v>
      </c>
      <c r="O481" s="3">
        <v>4.43</v>
      </c>
      <c r="P481" s="3">
        <v>1.81</v>
      </c>
      <c r="Q481" s="3">
        <v>2.62</v>
      </c>
      <c r="R481" s="2" t="s">
        <v>28</v>
      </c>
      <c r="S481" s="2" t="s">
        <v>87</v>
      </c>
      <c r="T481" s="2" t="s">
        <v>30</v>
      </c>
      <c r="U481" s="2">
        <v>5</v>
      </c>
    </row>
    <row r="482" spans="1:21" x14ac:dyDescent="0.25">
      <c r="A482" s="2" t="s">
        <v>949</v>
      </c>
      <c r="B482" s="2" t="s">
        <v>950</v>
      </c>
      <c r="C482" s="2" t="str">
        <f>TEXT(TransactionsTable500[[#This Row],[Order Date]],"mmm")</f>
        <v>Nov</v>
      </c>
      <c r="D482" s="2" t="s">
        <v>32</v>
      </c>
      <c r="E482" s="2" t="s">
        <v>33</v>
      </c>
      <c r="F482" s="2" t="s">
        <v>34</v>
      </c>
      <c r="G482" s="2" t="s">
        <v>35</v>
      </c>
      <c r="H482" s="2" t="s">
        <v>46</v>
      </c>
      <c r="I482" s="2" t="s">
        <v>47</v>
      </c>
      <c r="J482" s="2">
        <v>2</v>
      </c>
      <c r="K482" s="3">
        <v>8.18</v>
      </c>
      <c r="L482" s="3">
        <v>16.36</v>
      </c>
      <c r="M482" s="4">
        <v>0</v>
      </c>
      <c r="N482" s="3">
        <v>0</v>
      </c>
      <c r="O482" s="3">
        <v>16.36</v>
      </c>
      <c r="P482" s="3">
        <v>6.53</v>
      </c>
      <c r="Q482" s="3">
        <v>9.83</v>
      </c>
      <c r="R482" s="2" t="s">
        <v>48</v>
      </c>
      <c r="S482" s="2" t="s">
        <v>29</v>
      </c>
      <c r="T482" s="2" t="s">
        <v>30</v>
      </c>
      <c r="U482" s="2">
        <v>5</v>
      </c>
    </row>
    <row r="483" spans="1:21" x14ac:dyDescent="0.25">
      <c r="A483" s="2" t="s">
        <v>951</v>
      </c>
      <c r="B483" s="2" t="s">
        <v>950</v>
      </c>
      <c r="C483" s="2" t="str">
        <f>TEXT(TransactionsTable500[[#This Row],[Order Date]],"mmm")</f>
        <v>Nov</v>
      </c>
      <c r="D483" s="2" t="s">
        <v>133</v>
      </c>
      <c r="E483" s="2" t="s">
        <v>119</v>
      </c>
      <c r="F483" s="2" t="s">
        <v>24</v>
      </c>
      <c r="G483" s="2" t="s">
        <v>134</v>
      </c>
      <c r="H483" s="2" t="s">
        <v>64</v>
      </c>
      <c r="I483" s="2" t="s">
        <v>65</v>
      </c>
      <c r="J483" s="2">
        <v>1</v>
      </c>
      <c r="K483" s="3">
        <v>2.4</v>
      </c>
      <c r="L483" s="3">
        <v>2.4</v>
      </c>
      <c r="M483" s="4">
        <v>0.1</v>
      </c>
      <c r="N483" s="3">
        <v>0.24</v>
      </c>
      <c r="O483" s="3">
        <v>2.16</v>
      </c>
      <c r="P483" s="3">
        <v>0.83</v>
      </c>
      <c r="Q483" s="3">
        <v>1.33</v>
      </c>
      <c r="R483" s="2" t="s">
        <v>48</v>
      </c>
      <c r="S483" s="2" t="s">
        <v>66</v>
      </c>
      <c r="T483" s="2" t="s">
        <v>30</v>
      </c>
      <c r="U483" s="2">
        <v>4</v>
      </c>
    </row>
    <row r="484" spans="1:21" x14ac:dyDescent="0.25">
      <c r="A484" s="2" t="s">
        <v>952</v>
      </c>
      <c r="B484" s="2" t="s">
        <v>953</v>
      </c>
      <c r="C484" s="2" t="str">
        <f>TEXT(TransactionsTable500[[#This Row],[Order Date]],"mmm")</f>
        <v>Nov</v>
      </c>
      <c r="D484" s="2" t="s">
        <v>80</v>
      </c>
      <c r="E484" s="2" t="s">
        <v>23</v>
      </c>
      <c r="F484" s="2" t="s">
        <v>24</v>
      </c>
      <c r="G484" s="2" t="s">
        <v>81</v>
      </c>
      <c r="H484" s="2" t="s">
        <v>86</v>
      </c>
      <c r="I484" s="2" t="s">
        <v>27</v>
      </c>
      <c r="J484" s="2">
        <v>3</v>
      </c>
      <c r="K484" s="3">
        <v>4.7300000000000004</v>
      </c>
      <c r="L484" s="3">
        <v>14.19</v>
      </c>
      <c r="M484" s="4">
        <v>0</v>
      </c>
      <c r="N484" s="3">
        <v>0</v>
      </c>
      <c r="O484" s="3">
        <v>14.19</v>
      </c>
      <c r="P484" s="3">
        <v>5.29</v>
      </c>
      <c r="Q484" s="3">
        <v>8.9</v>
      </c>
      <c r="R484" s="2" t="s">
        <v>96</v>
      </c>
      <c r="S484" s="2" t="s">
        <v>29</v>
      </c>
      <c r="T484" s="2" t="s">
        <v>37</v>
      </c>
      <c r="U484" s="2">
        <v>5</v>
      </c>
    </row>
    <row r="485" spans="1:21" x14ac:dyDescent="0.25">
      <c r="A485" s="2" t="s">
        <v>954</v>
      </c>
      <c r="B485" s="2" t="s">
        <v>955</v>
      </c>
      <c r="C485" s="2" t="str">
        <f>TEXT(TransactionsTable500[[#This Row],[Order Date]],"mmm")</f>
        <v>Nov</v>
      </c>
      <c r="D485" s="2" t="s">
        <v>84</v>
      </c>
      <c r="E485" s="2" t="s">
        <v>61</v>
      </c>
      <c r="F485" s="2" t="s">
        <v>62</v>
      </c>
      <c r="G485" s="2" t="s">
        <v>85</v>
      </c>
      <c r="H485" s="2" t="s">
        <v>57</v>
      </c>
      <c r="I485" s="2" t="s">
        <v>58</v>
      </c>
      <c r="J485" s="2">
        <v>1</v>
      </c>
      <c r="K485" s="3">
        <v>8.8800000000000008</v>
      </c>
      <c r="L485" s="3">
        <v>8.8800000000000008</v>
      </c>
      <c r="M485" s="4">
        <v>0.15</v>
      </c>
      <c r="N485" s="3">
        <v>1.33</v>
      </c>
      <c r="O485" s="3">
        <v>7.55</v>
      </c>
      <c r="P485" s="3">
        <v>2.4300000000000002</v>
      </c>
      <c r="Q485" s="3">
        <v>5.12</v>
      </c>
      <c r="R485" s="2" t="s">
        <v>48</v>
      </c>
      <c r="S485" s="2" t="s">
        <v>66</v>
      </c>
      <c r="T485" s="2" t="s">
        <v>30</v>
      </c>
      <c r="U485" s="2">
        <v>4</v>
      </c>
    </row>
    <row r="486" spans="1:21" x14ac:dyDescent="0.25">
      <c r="A486" s="2" t="s">
        <v>956</v>
      </c>
      <c r="B486" s="2" t="s">
        <v>957</v>
      </c>
      <c r="C486" s="2" t="str">
        <f>TEXT(TransactionsTable500[[#This Row],[Order Date]],"mmm")</f>
        <v>Nov</v>
      </c>
      <c r="D486" s="2" t="s">
        <v>95</v>
      </c>
      <c r="E486" s="2" t="s">
        <v>23</v>
      </c>
      <c r="F486" s="2" t="s">
        <v>24</v>
      </c>
      <c r="G486" s="2" t="s">
        <v>52</v>
      </c>
      <c r="H486" s="2" t="s">
        <v>231</v>
      </c>
      <c r="I486" s="2" t="s">
        <v>100</v>
      </c>
      <c r="J486" s="2">
        <v>3</v>
      </c>
      <c r="K486" s="3">
        <v>4.5599999999999996</v>
      </c>
      <c r="L486" s="3">
        <v>13.68</v>
      </c>
      <c r="M486" s="4">
        <v>0</v>
      </c>
      <c r="N486" s="3">
        <v>0</v>
      </c>
      <c r="O486" s="3">
        <v>13.68</v>
      </c>
      <c r="P486" s="3">
        <v>5.63</v>
      </c>
      <c r="Q486" s="3">
        <v>8.0500000000000007</v>
      </c>
      <c r="R486" s="2" t="s">
        <v>28</v>
      </c>
      <c r="S486" s="2" t="s">
        <v>36</v>
      </c>
      <c r="T486" s="2" t="s">
        <v>30</v>
      </c>
      <c r="U486" s="2">
        <v>5</v>
      </c>
    </row>
    <row r="487" spans="1:21" x14ac:dyDescent="0.25">
      <c r="A487" s="2" t="s">
        <v>958</v>
      </c>
      <c r="B487" s="2" t="s">
        <v>959</v>
      </c>
      <c r="C487" s="2" t="str">
        <f>TEXT(TransactionsTable500[[#This Row],[Order Date]],"mmm")</f>
        <v>Nov</v>
      </c>
      <c r="D487" s="2" t="s">
        <v>105</v>
      </c>
      <c r="E487" s="2" t="s">
        <v>61</v>
      </c>
      <c r="F487" s="2" t="s">
        <v>62</v>
      </c>
      <c r="G487" s="2" t="s">
        <v>85</v>
      </c>
      <c r="H487" s="2" t="s">
        <v>53</v>
      </c>
      <c r="I487" s="2" t="s">
        <v>27</v>
      </c>
      <c r="J487" s="2">
        <v>3</v>
      </c>
      <c r="K487" s="3">
        <v>4.04</v>
      </c>
      <c r="L487" s="3">
        <v>12.12</v>
      </c>
      <c r="M487" s="4">
        <v>0.05</v>
      </c>
      <c r="N487" s="3">
        <v>0.61</v>
      </c>
      <c r="O487" s="3">
        <v>11.51</v>
      </c>
      <c r="P487" s="3">
        <v>3.84</v>
      </c>
      <c r="Q487" s="3">
        <v>7.67</v>
      </c>
      <c r="R487" s="2" t="s">
        <v>28</v>
      </c>
      <c r="S487" s="2" t="s">
        <v>87</v>
      </c>
      <c r="T487" s="2" t="s">
        <v>37</v>
      </c>
      <c r="U487" s="2">
        <v>5</v>
      </c>
    </row>
    <row r="488" spans="1:21" x14ac:dyDescent="0.25">
      <c r="A488" s="2" t="s">
        <v>960</v>
      </c>
      <c r="B488" s="2" t="s">
        <v>961</v>
      </c>
      <c r="C488" s="2" t="str">
        <f>TEXT(TransactionsTable500[[#This Row],[Order Date]],"mmm")</f>
        <v>Nov</v>
      </c>
      <c r="D488" s="2" t="s">
        <v>118</v>
      </c>
      <c r="E488" s="2" t="s">
        <v>119</v>
      </c>
      <c r="F488" s="2" t="s">
        <v>24</v>
      </c>
      <c r="G488" s="2" t="s">
        <v>120</v>
      </c>
      <c r="H488" s="2" t="s">
        <v>64</v>
      </c>
      <c r="I488" s="2" t="s">
        <v>65</v>
      </c>
      <c r="J488" s="2">
        <v>1</v>
      </c>
      <c r="K488" s="3">
        <v>2.42</v>
      </c>
      <c r="L488" s="3">
        <v>2.42</v>
      </c>
      <c r="M488" s="4">
        <v>0.05</v>
      </c>
      <c r="N488" s="3">
        <v>0.12</v>
      </c>
      <c r="O488" s="3">
        <v>2.2999999999999998</v>
      </c>
      <c r="P488" s="3">
        <v>0.87</v>
      </c>
      <c r="Q488" s="3">
        <v>1.43</v>
      </c>
      <c r="R488" s="2" t="s">
        <v>48</v>
      </c>
      <c r="S488" s="2" t="s">
        <v>87</v>
      </c>
      <c r="T488" s="2" t="s">
        <v>90</v>
      </c>
      <c r="U488" s="2">
        <v>4</v>
      </c>
    </row>
    <row r="489" spans="1:21" x14ac:dyDescent="0.25">
      <c r="A489" s="2" t="s">
        <v>962</v>
      </c>
      <c r="B489" s="2" t="s">
        <v>963</v>
      </c>
      <c r="C489" s="2" t="str">
        <f>TEXT(TransactionsTable500[[#This Row],[Order Date]],"mmm")</f>
        <v>Nov</v>
      </c>
      <c r="D489" s="2" t="s">
        <v>55</v>
      </c>
      <c r="E489" s="2" t="s">
        <v>43</v>
      </c>
      <c r="F489" s="2" t="s">
        <v>44</v>
      </c>
      <c r="G489" s="2" t="s">
        <v>56</v>
      </c>
      <c r="H489" s="2" t="s">
        <v>99</v>
      </c>
      <c r="I489" s="2" t="s">
        <v>100</v>
      </c>
      <c r="J489" s="2">
        <v>3</v>
      </c>
      <c r="K489" s="3">
        <v>4.4800000000000004</v>
      </c>
      <c r="L489" s="3">
        <v>13.44</v>
      </c>
      <c r="M489" s="4">
        <v>0</v>
      </c>
      <c r="N489" s="3">
        <v>0</v>
      </c>
      <c r="O489" s="3">
        <v>13.44</v>
      </c>
      <c r="P489" s="3">
        <v>5.31</v>
      </c>
      <c r="Q489" s="3">
        <v>8.1300000000000008</v>
      </c>
      <c r="R489" s="2" t="s">
        <v>28</v>
      </c>
      <c r="S489" s="2" t="s">
        <v>36</v>
      </c>
      <c r="T489" s="2" t="s">
        <v>90</v>
      </c>
      <c r="U489" s="2">
        <v>5</v>
      </c>
    </row>
    <row r="490" spans="1:21" x14ac:dyDescent="0.25">
      <c r="A490" s="2" t="s">
        <v>964</v>
      </c>
      <c r="B490" s="2" t="s">
        <v>965</v>
      </c>
      <c r="C490" s="2" t="str">
        <f>TEXT(TransactionsTable500[[#This Row],[Order Date]],"mmm")</f>
        <v>Nov</v>
      </c>
      <c r="D490" s="2" t="s">
        <v>105</v>
      </c>
      <c r="E490" s="2" t="s">
        <v>61</v>
      </c>
      <c r="F490" s="2" t="s">
        <v>62</v>
      </c>
      <c r="G490" s="2" t="s">
        <v>85</v>
      </c>
      <c r="H490" s="2" t="s">
        <v>140</v>
      </c>
      <c r="I490" s="2" t="s">
        <v>58</v>
      </c>
      <c r="J490" s="2">
        <v>5</v>
      </c>
      <c r="K490" s="3">
        <v>12.54</v>
      </c>
      <c r="L490" s="3">
        <v>62.7</v>
      </c>
      <c r="M490" s="4">
        <v>0</v>
      </c>
      <c r="N490" s="3">
        <v>0</v>
      </c>
      <c r="O490" s="3">
        <v>62.7</v>
      </c>
      <c r="P490" s="3">
        <v>25.66</v>
      </c>
      <c r="Q490" s="3">
        <v>37.04</v>
      </c>
      <c r="R490" s="2" t="s">
        <v>48</v>
      </c>
      <c r="S490" s="2" t="s">
        <v>66</v>
      </c>
      <c r="T490" s="2" t="s">
        <v>37</v>
      </c>
      <c r="U490" s="2">
        <v>5</v>
      </c>
    </row>
    <row r="491" spans="1:21" x14ac:dyDescent="0.25">
      <c r="A491" s="2" t="s">
        <v>966</v>
      </c>
      <c r="B491" s="2" t="s">
        <v>965</v>
      </c>
      <c r="C491" s="2" t="str">
        <f>TEXT(TransactionsTable500[[#This Row],[Order Date]],"mmm")</f>
        <v>Nov</v>
      </c>
      <c r="D491" s="2" t="s">
        <v>42</v>
      </c>
      <c r="E491" s="2" t="s">
        <v>43</v>
      </c>
      <c r="F491" s="2" t="s">
        <v>44</v>
      </c>
      <c r="G491" s="2" t="s">
        <v>45</v>
      </c>
      <c r="H491" s="2" t="s">
        <v>103</v>
      </c>
      <c r="I491" s="2" t="s">
        <v>27</v>
      </c>
      <c r="J491" s="2">
        <v>1</v>
      </c>
      <c r="K491" s="3">
        <v>4.96</v>
      </c>
      <c r="L491" s="3">
        <v>4.96</v>
      </c>
      <c r="M491" s="4">
        <v>0.05</v>
      </c>
      <c r="N491" s="3">
        <v>0.25</v>
      </c>
      <c r="O491" s="3">
        <v>4.71</v>
      </c>
      <c r="P491" s="3">
        <v>1.96</v>
      </c>
      <c r="Q491" s="3">
        <v>2.75</v>
      </c>
      <c r="R491" s="2" t="s">
        <v>96</v>
      </c>
      <c r="S491" s="2" t="s">
        <v>87</v>
      </c>
      <c r="T491" s="2" t="s">
        <v>30</v>
      </c>
      <c r="U491" s="2">
        <v>5</v>
      </c>
    </row>
    <row r="492" spans="1:21" x14ac:dyDescent="0.25">
      <c r="A492" s="2" t="s">
        <v>967</v>
      </c>
      <c r="B492" s="2" t="s">
        <v>965</v>
      </c>
      <c r="C492" s="2" t="str">
        <f>TEXT(TransactionsTable500[[#This Row],[Order Date]],"mmm")</f>
        <v>Nov</v>
      </c>
      <c r="D492" s="2" t="s">
        <v>115</v>
      </c>
      <c r="E492" s="2" t="s">
        <v>70</v>
      </c>
      <c r="F492" s="2" t="s">
        <v>44</v>
      </c>
      <c r="G492" s="2" t="s">
        <v>76</v>
      </c>
      <c r="H492" s="2" t="s">
        <v>86</v>
      </c>
      <c r="I492" s="2" t="s">
        <v>27</v>
      </c>
      <c r="J492" s="2">
        <v>2</v>
      </c>
      <c r="K492" s="3">
        <v>4.49</v>
      </c>
      <c r="L492" s="3">
        <v>8.98</v>
      </c>
      <c r="M492" s="4">
        <v>0</v>
      </c>
      <c r="N492" s="3">
        <v>0</v>
      </c>
      <c r="O492" s="3">
        <v>8.98</v>
      </c>
      <c r="P492" s="3">
        <v>3.33</v>
      </c>
      <c r="Q492" s="3">
        <v>5.65</v>
      </c>
      <c r="R492" s="2" t="s">
        <v>48</v>
      </c>
      <c r="S492" s="2" t="s">
        <v>29</v>
      </c>
      <c r="T492" s="2" t="s">
        <v>37</v>
      </c>
      <c r="U492" s="2">
        <v>5</v>
      </c>
    </row>
    <row r="493" spans="1:21" x14ac:dyDescent="0.25">
      <c r="A493" s="2" t="s">
        <v>968</v>
      </c>
      <c r="B493" s="2" t="s">
        <v>969</v>
      </c>
      <c r="C493" s="2" t="str">
        <f>TEXT(TransactionsTable500[[#This Row],[Order Date]],"mmm")</f>
        <v>Nov</v>
      </c>
      <c r="D493" s="2" t="s">
        <v>22</v>
      </c>
      <c r="E493" s="2" t="s">
        <v>23</v>
      </c>
      <c r="F493" s="2" t="s">
        <v>24</v>
      </c>
      <c r="G493" s="2" t="s">
        <v>25</v>
      </c>
      <c r="H493" s="2" t="s">
        <v>140</v>
      </c>
      <c r="I493" s="2" t="s">
        <v>58</v>
      </c>
      <c r="J493" s="2">
        <v>1</v>
      </c>
      <c r="K493" s="3">
        <v>12.91</v>
      </c>
      <c r="L493" s="3">
        <v>12.91</v>
      </c>
      <c r="M493" s="4">
        <v>0</v>
      </c>
      <c r="N493" s="3">
        <v>0</v>
      </c>
      <c r="O493" s="3">
        <v>12.91</v>
      </c>
      <c r="P493" s="3">
        <v>5.14</v>
      </c>
      <c r="Q493" s="3">
        <v>7.77</v>
      </c>
      <c r="R493" s="2" t="s">
        <v>96</v>
      </c>
      <c r="S493" s="2" t="s">
        <v>66</v>
      </c>
      <c r="T493" s="2" t="s">
        <v>30</v>
      </c>
      <c r="U493" s="2">
        <v>5</v>
      </c>
    </row>
    <row r="494" spans="1:21" x14ac:dyDescent="0.25">
      <c r="A494" s="2" t="s">
        <v>970</v>
      </c>
      <c r="B494" s="2" t="s">
        <v>971</v>
      </c>
      <c r="C494" s="2" t="str">
        <f>TEXT(TransactionsTable500[[#This Row],[Order Date]],"mmm")</f>
        <v>Dec</v>
      </c>
      <c r="D494" s="2" t="s">
        <v>40</v>
      </c>
      <c r="E494" s="2" t="s">
        <v>33</v>
      </c>
      <c r="F494" s="2" t="s">
        <v>34</v>
      </c>
      <c r="G494" s="2" t="s">
        <v>35</v>
      </c>
      <c r="H494" s="2" t="s">
        <v>77</v>
      </c>
      <c r="I494" s="2" t="s">
        <v>47</v>
      </c>
      <c r="J494" s="2">
        <v>1</v>
      </c>
      <c r="K494" s="3">
        <v>6.21</v>
      </c>
      <c r="L494" s="3">
        <v>6.21</v>
      </c>
      <c r="M494" s="4">
        <v>0</v>
      </c>
      <c r="N494" s="3">
        <v>0</v>
      </c>
      <c r="O494" s="3">
        <v>6.21</v>
      </c>
      <c r="P494" s="3">
        <v>2.2400000000000002</v>
      </c>
      <c r="Q494" s="3">
        <v>3.97</v>
      </c>
      <c r="R494" s="2" t="s">
        <v>96</v>
      </c>
      <c r="S494" s="2" t="s">
        <v>29</v>
      </c>
      <c r="T494" s="2" t="s">
        <v>90</v>
      </c>
      <c r="U494" s="2">
        <v>4</v>
      </c>
    </row>
    <row r="495" spans="1:21" x14ac:dyDescent="0.25">
      <c r="A495" s="2" t="s">
        <v>972</v>
      </c>
      <c r="B495" s="2" t="s">
        <v>973</v>
      </c>
      <c r="C495" s="2" t="str">
        <f>TEXT(TransactionsTable500[[#This Row],[Order Date]],"mmm")</f>
        <v>Dec</v>
      </c>
      <c r="D495" s="2" t="s">
        <v>80</v>
      </c>
      <c r="E495" s="2" t="s">
        <v>23</v>
      </c>
      <c r="F495" s="2" t="s">
        <v>24</v>
      </c>
      <c r="G495" s="2" t="s">
        <v>81</v>
      </c>
      <c r="H495" s="2" t="s">
        <v>72</v>
      </c>
      <c r="I495" s="2" t="s">
        <v>58</v>
      </c>
      <c r="J495" s="2">
        <v>1</v>
      </c>
      <c r="K495" s="3">
        <v>14.53</v>
      </c>
      <c r="L495" s="3">
        <v>14.53</v>
      </c>
      <c r="M495" s="4">
        <v>0</v>
      </c>
      <c r="N495" s="3">
        <v>0</v>
      </c>
      <c r="O495" s="3">
        <v>14.53</v>
      </c>
      <c r="P495" s="3">
        <v>4.7300000000000004</v>
      </c>
      <c r="Q495" s="3">
        <v>9.8000000000000007</v>
      </c>
      <c r="R495" s="2" t="s">
        <v>28</v>
      </c>
      <c r="S495" s="2" t="s">
        <v>36</v>
      </c>
      <c r="T495" s="2" t="s">
        <v>30</v>
      </c>
      <c r="U495" s="2">
        <v>4</v>
      </c>
    </row>
    <row r="496" spans="1:21" x14ac:dyDescent="0.25">
      <c r="A496" s="2" t="s">
        <v>974</v>
      </c>
      <c r="B496" s="2" t="s">
        <v>975</v>
      </c>
      <c r="C496" s="2" t="str">
        <f>TEXT(TransactionsTable500[[#This Row],[Order Date]],"mmm")</f>
        <v>Dec</v>
      </c>
      <c r="D496" s="2" t="s">
        <v>32</v>
      </c>
      <c r="E496" s="2" t="s">
        <v>33</v>
      </c>
      <c r="F496" s="2" t="s">
        <v>34</v>
      </c>
      <c r="G496" s="2" t="s">
        <v>35</v>
      </c>
      <c r="H496" s="2" t="s">
        <v>103</v>
      </c>
      <c r="I496" s="2" t="s">
        <v>27</v>
      </c>
      <c r="J496" s="2">
        <v>2</v>
      </c>
      <c r="K496" s="3">
        <v>4.74</v>
      </c>
      <c r="L496" s="3">
        <v>9.48</v>
      </c>
      <c r="M496" s="4">
        <v>0</v>
      </c>
      <c r="N496" s="3">
        <v>0</v>
      </c>
      <c r="O496" s="3">
        <v>9.48</v>
      </c>
      <c r="P496" s="3">
        <v>3.14</v>
      </c>
      <c r="Q496" s="3">
        <v>6.34</v>
      </c>
      <c r="R496" s="2" t="s">
        <v>28</v>
      </c>
      <c r="S496" s="2" t="s">
        <v>29</v>
      </c>
      <c r="T496" s="2" t="s">
        <v>90</v>
      </c>
      <c r="U496" s="2">
        <v>4</v>
      </c>
    </row>
    <row r="497" spans="1:21" x14ac:dyDescent="0.25">
      <c r="A497" s="2" t="s">
        <v>976</v>
      </c>
      <c r="B497" s="2" t="s">
        <v>977</v>
      </c>
      <c r="C497" s="2" t="str">
        <f>TEXT(TransactionsTable500[[#This Row],[Order Date]],"mmm")</f>
        <v>Dec</v>
      </c>
      <c r="D497" s="2" t="s">
        <v>105</v>
      </c>
      <c r="E497" s="2" t="s">
        <v>61</v>
      </c>
      <c r="F497" s="2" t="s">
        <v>62</v>
      </c>
      <c r="G497" s="2" t="s">
        <v>85</v>
      </c>
      <c r="H497" s="2" t="s">
        <v>26</v>
      </c>
      <c r="I497" s="2" t="s">
        <v>27</v>
      </c>
      <c r="J497" s="2">
        <v>2</v>
      </c>
      <c r="K497" s="3">
        <v>5.38</v>
      </c>
      <c r="L497" s="3">
        <v>10.76</v>
      </c>
      <c r="M497" s="4">
        <v>0</v>
      </c>
      <c r="N497" s="3">
        <v>0</v>
      </c>
      <c r="O497" s="3">
        <v>10.76</v>
      </c>
      <c r="P497" s="3">
        <v>3.83</v>
      </c>
      <c r="Q497" s="3">
        <v>6.93</v>
      </c>
      <c r="R497" s="2" t="s">
        <v>28</v>
      </c>
      <c r="S497" s="2" t="s">
        <v>29</v>
      </c>
      <c r="T497" s="2" t="s">
        <v>30</v>
      </c>
      <c r="U497" s="2">
        <v>2</v>
      </c>
    </row>
    <row r="498" spans="1:21" x14ac:dyDescent="0.25">
      <c r="A498" s="2" t="s">
        <v>978</v>
      </c>
      <c r="B498" s="2" t="s">
        <v>979</v>
      </c>
      <c r="C498" s="2" t="str">
        <f>TEXT(TransactionsTable500[[#This Row],[Order Date]],"mmm")</f>
        <v>Dec</v>
      </c>
      <c r="D498" s="2" t="s">
        <v>69</v>
      </c>
      <c r="E498" s="2" t="s">
        <v>70</v>
      </c>
      <c r="F498" s="2" t="s">
        <v>44</v>
      </c>
      <c r="G498" s="2" t="s">
        <v>71</v>
      </c>
      <c r="H498" s="2" t="s">
        <v>140</v>
      </c>
      <c r="I498" s="2" t="s">
        <v>58</v>
      </c>
      <c r="J498" s="2">
        <v>1</v>
      </c>
      <c r="K498" s="3">
        <v>12.28</v>
      </c>
      <c r="L498" s="3">
        <v>12.28</v>
      </c>
      <c r="M498" s="4">
        <v>0</v>
      </c>
      <c r="N498" s="3">
        <v>0</v>
      </c>
      <c r="O498" s="3">
        <v>12.28</v>
      </c>
      <c r="P498" s="3">
        <v>4.0999999999999996</v>
      </c>
      <c r="Q498" s="3">
        <v>8.18</v>
      </c>
      <c r="R498" s="2" t="s">
        <v>28</v>
      </c>
      <c r="S498" s="2" t="s">
        <v>29</v>
      </c>
      <c r="T498" s="2" t="s">
        <v>90</v>
      </c>
      <c r="U498" s="2">
        <v>5</v>
      </c>
    </row>
    <row r="499" spans="1:21" x14ac:dyDescent="0.25">
      <c r="A499" s="2" t="s">
        <v>980</v>
      </c>
      <c r="B499" s="2" t="s">
        <v>981</v>
      </c>
      <c r="C499" s="2" t="str">
        <f>TEXT(TransactionsTable500[[#This Row],[Order Date]],"mmm")</f>
        <v>Dec</v>
      </c>
      <c r="D499" s="2" t="s">
        <v>221</v>
      </c>
      <c r="E499" s="2" t="s">
        <v>61</v>
      </c>
      <c r="F499" s="2" t="s">
        <v>62</v>
      </c>
      <c r="G499" s="2" t="s">
        <v>63</v>
      </c>
      <c r="H499" s="2" t="s">
        <v>103</v>
      </c>
      <c r="I499" s="2" t="s">
        <v>27</v>
      </c>
      <c r="J499" s="2">
        <v>1</v>
      </c>
      <c r="K499" s="3">
        <v>4.7</v>
      </c>
      <c r="L499" s="3">
        <v>4.7</v>
      </c>
      <c r="M499" s="4">
        <v>0</v>
      </c>
      <c r="N499" s="3">
        <v>0</v>
      </c>
      <c r="O499" s="3">
        <v>4.7</v>
      </c>
      <c r="P499" s="3">
        <v>1.69</v>
      </c>
      <c r="Q499" s="3">
        <v>3.01</v>
      </c>
      <c r="R499" s="2" t="s">
        <v>28</v>
      </c>
      <c r="S499" s="2" t="s">
        <v>66</v>
      </c>
      <c r="T499" s="2" t="s">
        <v>37</v>
      </c>
      <c r="U499" s="2">
        <v>5</v>
      </c>
    </row>
    <row r="500" spans="1:21" x14ac:dyDescent="0.25">
      <c r="A500" s="2" t="s">
        <v>982</v>
      </c>
      <c r="B500" s="2" t="s">
        <v>983</v>
      </c>
      <c r="C500" s="2" t="str">
        <f>TEXT(TransactionsTable500[[#This Row],[Order Date]],"mmm")</f>
        <v>Dec</v>
      </c>
      <c r="D500" s="2" t="s">
        <v>270</v>
      </c>
      <c r="E500" s="2" t="s">
        <v>70</v>
      </c>
      <c r="F500" s="2" t="s">
        <v>44</v>
      </c>
      <c r="G500" s="2" t="s">
        <v>200</v>
      </c>
      <c r="H500" s="2" t="s">
        <v>46</v>
      </c>
      <c r="I500" s="2" t="s">
        <v>47</v>
      </c>
      <c r="J500" s="2">
        <v>1</v>
      </c>
      <c r="K500" s="3">
        <v>8.5299999999999994</v>
      </c>
      <c r="L500" s="3">
        <v>8.5299999999999994</v>
      </c>
      <c r="M500" s="4">
        <v>0.05</v>
      </c>
      <c r="N500" s="3">
        <v>0.43</v>
      </c>
      <c r="O500" s="3">
        <v>8.1</v>
      </c>
      <c r="P500" s="3">
        <v>2.94</v>
      </c>
      <c r="Q500" s="3">
        <v>5.16</v>
      </c>
      <c r="R500" s="2" t="s">
        <v>28</v>
      </c>
      <c r="S500" s="2" t="s">
        <v>66</v>
      </c>
      <c r="T500" s="2" t="s">
        <v>90</v>
      </c>
      <c r="U500" s="2">
        <v>4</v>
      </c>
    </row>
    <row r="501" spans="1:21" x14ac:dyDescent="0.25">
      <c r="A501" s="2" t="s">
        <v>984</v>
      </c>
      <c r="B501" s="2" t="s">
        <v>985</v>
      </c>
      <c r="C501" s="2" t="str">
        <f>TEXT(TransactionsTable500[[#This Row],[Order Date]],"mmm")</f>
        <v>Dec</v>
      </c>
      <c r="D501" s="2" t="s">
        <v>109</v>
      </c>
      <c r="E501" s="2" t="s">
        <v>33</v>
      </c>
      <c r="F501" s="2" t="s">
        <v>34</v>
      </c>
      <c r="G501" s="2" t="s">
        <v>110</v>
      </c>
      <c r="H501" s="2" t="s">
        <v>86</v>
      </c>
      <c r="I501" s="2" t="s">
        <v>27</v>
      </c>
      <c r="J501" s="2">
        <v>2</v>
      </c>
      <c r="K501" s="3">
        <v>4.5199999999999996</v>
      </c>
      <c r="L501" s="3">
        <v>9.0399999999999991</v>
      </c>
      <c r="M501" s="4">
        <v>0</v>
      </c>
      <c r="N501" s="3">
        <v>0</v>
      </c>
      <c r="O501" s="3">
        <v>9.0399999999999991</v>
      </c>
      <c r="P501" s="3">
        <v>3.76</v>
      </c>
      <c r="Q501" s="3">
        <v>5.28</v>
      </c>
      <c r="R501" s="2" t="s">
        <v>48</v>
      </c>
      <c r="S501" s="2" t="s">
        <v>66</v>
      </c>
      <c r="T501" s="2" t="s">
        <v>30</v>
      </c>
      <c r="U501" s="2">
        <v>5</v>
      </c>
    </row>
  </sheetData>
  <conditionalFormatting sqref="L1:L1048576">
    <cfRule type="cellIs" dxfId="0" priority="2" operator="greaterThan">
      <formula>50</formula>
    </cfRule>
    <cfRule type="cellIs" dxfId="1" priority="1" operator="lessThan">
      <formula>50</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DC3D9-E711-46DF-96AB-B303CAB5A60F}">
  <dimension ref="A1:E95"/>
  <sheetViews>
    <sheetView zoomScale="58" workbookViewId="0">
      <selection activeCell="B2" sqref="B2"/>
    </sheetView>
  </sheetViews>
  <sheetFormatPr defaultRowHeight="15" x14ac:dyDescent="0.25"/>
  <cols>
    <col min="1" max="1" width="20.28515625" bestFit="1" customWidth="1"/>
    <col min="2" max="2" width="24.28515625" bestFit="1" customWidth="1"/>
    <col min="3" max="3" width="19.28515625" bestFit="1" customWidth="1"/>
    <col min="4" max="4" width="24.7109375" bestFit="1" customWidth="1"/>
    <col min="5" max="5" width="39" bestFit="1" customWidth="1"/>
  </cols>
  <sheetData>
    <row r="1" spans="1:3" x14ac:dyDescent="0.25">
      <c r="A1" s="31" t="s">
        <v>1008</v>
      </c>
      <c r="B1" s="31"/>
      <c r="C1" s="31"/>
    </row>
    <row r="2" spans="1:3" x14ac:dyDescent="0.25">
      <c r="A2" t="s">
        <v>1009</v>
      </c>
      <c r="B2" s="10">
        <f>SUM(net)</f>
        <v>5783.8099999999986</v>
      </c>
    </row>
    <row r="3" spans="1:3" x14ac:dyDescent="0.25">
      <c r="A3" t="s">
        <v>1010</v>
      </c>
      <c r="B3" s="10">
        <f>SUM(Transactions!Q:Q)</f>
        <v>3640.38</v>
      </c>
    </row>
    <row r="4" spans="1:3" x14ac:dyDescent="0.25">
      <c r="A4" t="s">
        <v>1011</v>
      </c>
      <c r="B4" s="10">
        <f>COUNTA(or)</f>
        <v>500</v>
      </c>
    </row>
    <row r="5" spans="1:3" x14ac:dyDescent="0.25">
      <c r="A5" t="s">
        <v>1012</v>
      </c>
      <c r="B5" s="11">
        <f>AVERAGE(net)</f>
        <v>11.567619999999998</v>
      </c>
    </row>
    <row r="6" spans="1:3" x14ac:dyDescent="0.25">
      <c r="A6" t="s">
        <v>1050</v>
      </c>
      <c r="B6" s="10">
        <f>AVERAGE(TransactionsTable500[Customer Rating])</f>
        <v>4.1840000000000002</v>
      </c>
    </row>
    <row r="8" spans="1:3" x14ac:dyDescent="0.25">
      <c r="A8" s="31" t="s">
        <v>1013</v>
      </c>
      <c r="B8" s="31"/>
      <c r="C8" s="31"/>
    </row>
    <row r="9" spans="1:3" x14ac:dyDescent="0.25">
      <c r="A9" s="31" t="s">
        <v>1031</v>
      </c>
      <c r="B9" s="31"/>
      <c r="C9" s="31"/>
    </row>
    <row r="10" spans="1:3" x14ac:dyDescent="0.25">
      <c r="A10" s="7" t="s">
        <v>1014</v>
      </c>
      <c r="B10" t="s">
        <v>1016</v>
      </c>
    </row>
    <row r="11" spans="1:3" x14ac:dyDescent="0.25">
      <c r="A11" s="8" t="s">
        <v>1019</v>
      </c>
      <c r="B11" s="9">
        <v>443.3</v>
      </c>
    </row>
    <row r="12" spans="1:3" x14ac:dyDescent="0.25">
      <c r="A12" s="8" t="s">
        <v>1020</v>
      </c>
      <c r="B12" s="9">
        <v>568.83000000000004</v>
      </c>
    </row>
    <row r="13" spans="1:3" x14ac:dyDescent="0.25">
      <c r="A13" s="8" t="s">
        <v>1021</v>
      </c>
      <c r="B13" s="9">
        <v>510.93999999999988</v>
      </c>
    </row>
    <row r="14" spans="1:3" x14ac:dyDescent="0.25">
      <c r="A14" s="8" t="s">
        <v>1022</v>
      </c>
      <c r="B14" s="9">
        <v>537.22</v>
      </c>
    </row>
    <row r="15" spans="1:3" x14ac:dyDescent="0.25">
      <c r="A15" s="8" t="s">
        <v>1023</v>
      </c>
      <c r="B15" s="9">
        <v>459.75999999999993</v>
      </c>
    </row>
    <row r="16" spans="1:3" x14ac:dyDescent="0.25">
      <c r="A16" s="8" t="s">
        <v>1024</v>
      </c>
      <c r="B16" s="9">
        <v>466.25000000000006</v>
      </c>
    </row>
    <row r="17" spans="1:3" x14ac:dyDescent="0.25">
      <c r="A17" s="8" t="s">
        <v>1025</v>
      </c>
      <c r="B17" s="9">
        <v>461.87000000000006</v>
      </c>
    </row>
    <row r="18" spans="1:3" x14ac:dyDescent="0.25">
      <c r="A18" s="8" t="s">
        <v>1026</v>
      </c>
      <c r="B18" s="9">
        <v>585.84</v>
      </c>
    </row>
    <row r="19" spans="1:3" x14ac:dyDescent="0.25">
      <c r="A19" s="8" t="s">
        <v>1027</v>
      </c>
      <c r="B19" s="9">
        <v>334.94</v>
      </c>
    </row>
    <row r="20" spans="1:3" x14ac:dyDescent="0.25">
      <c r="A20" s="8" t="s">
        <v>1028</v>
      </c>
      <c r="B20" s="9">
        <v>514.43999999999983</v>
      </c>
    </row>
    <row r="21" spans="1:3" x14ac:dyDescent="0.25">
      <c r="A21" s="8" t="s">
        <v>1029</v>
      </c>
      <c r="B21" s="9">
        <v>580.32000000000005</v>
      </c>
    </row>
    <row r="22" spans="1:3" x14ac:dyDescent="0.25">
      <c r="A22" s="8" t="s">
        <v>1030</v>
      </c>
      <c r="B22" s="9">
        <v>320.10000000000002</v>
      </c>
    </row>
    <row r="23" spans="1:3" x14ac:dyDescent="0.25">
      <c r="A23" s="8" t="s">
        <v>1015</v>
      </c>
      <c r="B23" s="9">
        <v>5783.8099999999995</v>
      </c>
    </row>
    <row r="25" spans="1:3" x14ac:dyDescent="0.25">
      <c r="A25" s="31" t="s">
        <v>1032</v>
      </c>
      <c r="B25" s="31"/>
      <c r="C25" s="31"/>
    </row>
    <row r="27" spans="1:3" x14ac:dyDescent="0.25">
      <c r="A27" s="7" t="s">
        <v>1014</v>
      </c>
      <c r="B27" t="s">
        <v>1017</v>
      </c>
    </row>
    <row r="28" spans="1:3" x14ac:dyDescent="0.25">
      <c r="A28" s="8" t="s">
        <v>65</v>
      </c>
      <c r="B28" s="9">
        <v>371.95000000000005</v>
      </c>
    </row>
    <row r="29" spans="1:3" x14ac:dyDescent="0.25">
      <c r="A29" s="8" t="s">
        <v>27</v>
      </c>
      <c r="B29" s="9">
        <v>573.87999999999977</v>
      </c>
    </row>
    <row r="30" spans="1:3" x14ac:dyDescent="0.25">
      <c r="A30" s="8" t="s">
        <v>47</v>
      </c>
      <c r="B30" s="9">
        <v>949.7900000000003</v>
      </c>
    </row>
    <row r="31" spans="1:3" x14ac:dyDescent="0.25">
      <c r="A31" s="8" t="s">
        <v>100</v>
      </c>
      <c r="B31" s="9">
        <v>527.45000000000005</v>
      </c>
    </row>
    <row r="32" spans="1:3" x14ac:dyDescent="0.25">
      <c r="A32" s="8" t="s">
        <v>58</v>
      </c>
      <c r="B32" s="9">
        <v>1217.3100000000002</v>
      </c>
    </row>
    <row r="33" spans="1:2" x14ac:dyDescent="0.25">
      <c r="A33" s="8" t="s">
        <v>1015</v>
      </c>
      <c r="B33" s="9">
        <v>3640.38</v>
      </c>
    </row>
    <row r="42" spans="1:2" x14ac:dyDescent="0.25">
      <c r="A42" t="s">
        <v>1033</v>
      </c>
    </row>
    <row r="44" spans="1:2" x14ac:dyDescent="0.25">
      <c r="A44" s="7" t="s">
        <v>1014</v>
      </c>
      <c r="B44" t="s">
        <v>1016</v>
      </c>
    </row>
    <row r="45" spans="1:2" x14ac:dyDescent="0.25">
      <c r="A45" s="8" t="s">
        <v>24</v>
      </c>
      <c r="B45" s="9">
        <v>1348.0399999999995</v>
      </c>
    </row>
    <row r="46" spans="1:2" x14ac:dyDescent="0.25">
      <c r="A46" s="8" t="s">
        <v>44</v>
      </c>
      <c r="B46" s="9">
        <v>1884.110000000001</v>
      </c>
    </row>
    <row r="47" spans="1:2" x14ac:dyDescent="0.25">
      <c r="A47" s="8" t="s">
        <v>34</v>
      </c>
      <c r="B47" s="9">
        <v>539.26999999999987</v>
      </c>
    </row>
    <row r="48" spans="1:2" x14ac:dyDescent="0.25">
      <c r="A48" s="8" t="s">
        <v>62</v>
      </c>
      <c r="B48" s="9">
        <v>2012.3899999999992</v>
      </c>
    </row>
    <row r="49" spans="1:2" x14ac:dyDescent="0.25">
      <c r="A49" s="8" t="s">
        <v>1015</v>
      </c>
      <c r="B49" s="9">
        <v>5783.8099999999995</v>
      </c>
    </row>
    <row r="59" spans="1:2" x14ac:dyDescent="0.25">
      <c r="A59" t="s">
        <v>1034</v>
      </c>
    </row>
    <row r="61" spans="1:2" x14ac:dyDescent="0.25">
      <c r="A61" s="7" t="s">
        <v>1014</v>
      </c>
      <c r="B61" t="s">
        <v>1016</v>
      </c>
    </row>
    <row r="62" spans="1:2" x14ac:dyDescent="0.25">
      <c r="A62" s="8" t="s">
        <v>87</v>
      </c>
      <c r="B62" s="9">
        <v>1073.3</v>
      </c>
    </row>
    <row r="63" spans="1:2" x14ac:dyDescent="0.25">
      <c r="A63" s="8" t="s">
        <v>29</v>
      </c>
      <c r="B63" s="9">
        <v>2084.8300000000004</v>
      </c>
    </row>
    <row r="64" spans="1:2" x14ac:dyDescent="0.25">
      <c r="A64" s="8" t="s">
        <v>36</v>
      </c>
      <c r="B64" s="9">
        <v>880.41999999999985</v>
      </c>
    </row>
    <row r="65" spans="1:5" x14ac:dyDescent="0.25">
      <c r="A65" s="8" t="s">
        <v>66</v>
      </c>
      <c r="B65" s="9">
        <v>1745.2599999999998</v>
      </c>
    </row>
    <row r="66" spans="1:5" x14ac:dyDescent="0.25">
      <c r="A66" s="8" t="s">
        <v>1015</v>
      </c>
      <c r="B66" s="9">
        <v>5783.8099999999995</v>
      </c>
    </row>
    <row r="75" spans="1:5" x14ac:dyDescent="0.25">
      <c r="A75" t="s">
        <v>1035</v>
      </c>
    </row>
    <row r="77" spans="1:5" x14ac:dyDescent="0.25">
      <c r="A77" t="s">
        <v>3</v>
      </c>
      <c r="B77" t="s">
        <v>13</v>
      </c>
      <c r="C77" t="s">
        <v>15</v>
      </c>
      <c r="D77" t="s">
        <v>1036</v>
      </c>
      <c r="E77" t="s">
        <v>1037</v>
      </c>
    </row>
    <row r="78" spans="1:5" x14ac:dyDescent="0.25">
      <c r="A78" t="s">
        <v>119</v>
      </c>
      <c r="B78">
        <f>SUMIF(TransactionsTable500[Country],"australia",TransactionsTable500[Net Sales])</f>
        <v>285.62</v>
      </c>
      <c r="C78">
        <f ca="1">SUMIF(city,"australia",TransactionsTable500[Profit])</f>
        <v>295.96999999999991</v>
      </c>
      <c r="D78">
        <f>COUNTIF(city,"australia")</f>
        <v>32</v>
      </c>
      <c r="E78">
        <f ca="1">AVERAGEIF(city,"australia",TransactionsTable500[Customer Rating])</f>
        <v>4.28125</v>
      </c>
    </row>
    <row r="79" spans="1:5" x14ac:dyDescent="0.25">
      <c r="A79" t="s">
        <v>1038</v>
      </c>
      <c r="B79">
        <f>SUMIF(TransactionsTable500[Country],"canada",TransactionsTable500[Net Sales])</f>
        <v>320.74999999999994</v>
      </c>
      <c r="C79">
        <f ca="1">SUMIF(city,"canada",TransactionsTable500[Profit])</f>
        <v>230.40999999999997</v>
      </c>
      <c r="D79">
        <f>COUNTIF(city,"canada")</f>
        <v>31</v>
      </c>
      <c r="E79">
        <f ca="1">AVERAGEIF(city,"canada",TransactionsTable500[Customer Rating])</f>
        <v>4.129032258064516</v>
      </c>
    </row>
    <row r="80" spans="1:5" x14ac:dyDescent="0.25">
      <c r="A80" t="s">
        <v>1039</v>
      </c>
      <c r="B80">
        <f>SUMIF(TransactionsTable500[Country],"germany",TransactionsTable500[Net Sales])</f>
        <v>733.66000000000008</v>
      </c>
      <c r="C80">
        <f ca="1">SUMIF(city,"germany",TransactionsTable500[Profit])</f>
        <v>589.7700000000001</v>
      </c>
      <c r="D80">
        <f>COUNTIF(city,"germany")</f>
        <v>63</v>
      </c>
      <c r="E80">
        <f ca="1">AVERAGEIF(city,"germany",TransactionsTable500[Customer Rating])</f>
        <v>4.4285714285714288</v>
      </c>
    </row>
    <row r="81" spans="1:5" x14ac:dyDescent="0.25">
      <c r="A81" t="s">
        <v>1040</v>
      </c>
      <c r="B81">
        <f>SUMIF(TransactionsTable500[Country],"india",TransactionsTable500[Net Sales])</f>
        <v>1062.4200000000003</v>
      </c>
      <c r="C81">
        <f ca="1">SUMIF(city,"india",TransactionsTable500[Profit])</f>
        <v>576.1099999999999</v>
      </c>
      <c r="D81">
        <f>COUNTIF(city,"india")</f>
        <v>94</v>
      </c>
      <c r="E81">
        <f ca="1">AVERAGEIF(city,"india",TransactionsTable500[Customer Rating])</f>
        <v>4.3085106382978724</v>
      </c>
    </row>
    <row r="82" spans="1:5" x14ac:dyDescent="0.25">
      <c r="A82" t="s">
        <v>33</v>
      </c>
      <c r="B82">
        <f>SUMIF(TransactionsTable500[Country],"uae",TransactionsTable500[Net Sales])</f>
        <v>539.26999999999987</v>
      </c>
      <c r="C82">
        <f ca="1">SUMIF(city,"uae",TransactionsTable500[Profit])</f>
        <v>397.83000000000004</v>
      </c>
      <c r="D82">
        <f>COUNTIF(city,"uae")</f>
        <v>51</v>
      </c>
      <c r="E82">
        <f ca="1">AVERAGEIF(city,"uae",TransactionsTable500[Customer Rating])</f>
        <v>3.96</v>
      </c>
    </row>
    <row r="83" spans="1:5" x14ac:dyDescent="0.25">
      <c r="A83" t="s">
        <v>70</v>
      </c>
      <c r="B83">
        <f>SUMIF(TransactionsTable500[Country],"uk",TransactionsTable500[Net Sales])</f>
        <v>1150.4500000000005</v>
      </c>
      <c r="C83">
        <f ca="1">SUMIF(city,"uk",TransactionsTable500[Profit])</f>
        <v>622.40999999999985</v>
      </c>
      <c r="D83">
        <f>COUNTIF(city,"uk")</f>
        <v>94</v>
      </c>
      <c r="E83">
        <f ca="1">AVERAGEIF(city,"uk",TransactionsTable500[Customer Rating])</f>
        <v>4.1382978723404253</v>
      </c>
    </row>
    <row r="84" spans="1:5" x14ac:dyDescent="0.25">
      <c r="A84" t="s">
        <v>61</v>
      </c>
      <c r="B84">
        <f>SUMIF(TransactionsTable500[Country],"usa",TransactionsTable500[Net Sales])</f>
        <v>1691.6399999999996</v>
      </c>
      <c r="C84">
        <f ca="1">SUMIF(city,"usa",TransactionsTable500[Profit])</f>
        <v>919.18000000000006</v>
      </c>
      <c r="D84">
        <f>COUNTIF(city,"usa")</f>
        <v>135</v>
      </c>
      <c r="E84">
        <f ca="1">AVERAGEIF(city,"usa",TransactionsTable500[Customer Rating])</f>
        <v>4.0962962962962965</v>
      </c>
    </row>
    <row r="87" spans="1:5" x14ac:dyDescent="0.25">
      <c r="A87" s="7" t="s">
        <v>1014</v>
      </c>
      <c r="B87" t="s">
        <v>1016</v>
      </c>
      <c r="C87" t="s">
        <v>1017</v>
      </c>
      <c r="D87" t="s">
        <v>1041</v>
      </c>
      <c r="E87" t="s">
        <v>1042</v>
      </c>
    </row>
    <row r="88" spans="1:5" x14ac:dyDescent="0.25">
      <c r="A88" s="8" t="s">
        <v>119</v>
      </c>
      <c r="B88" s="9">
        <v>285.62</v>
      </c>
      <c r="C88" s="9">
        <v>180.56000000000003</v>
      </c>
      <c r="D88" s="42">
        <v>32</v>
      </c>
      <c r="E88" s="42">
        <v>3.90625</v>
      </c>
    </row>
    <row r="89" spans="1:5" x14ac:dyDescent="0.25">
      <c r="A89" s="8" t="s">
        <v>184</v>
      </c>
      <c r="B89" s="9">
        <v>320.74999999999994</v>
      </c>
      <c r="C89" s="9">
        <v>202.88000000000005</v>
      </c>
      <c r="D89" s="42">
        <v>31</v>
      </c>
      <c r="E89" s="42">
        <v>4.193548387096774</v>
      </c>
    </row>
    <row r="90" spans="1:5" x14ac:dyDescent="0.25">
      <c r="A90" s="8" t="s">
        <v>43</v>
      </c>
      <c r="B90" s="9">
        <v>733.66000000000008</v>
      </c>
      <c r="C90" s="9">
        <v>458.87</v>
      </c>
      <c r="D90" s="42">
        <v>63</v>
      </c>
      <c r="E90" s="42">
        <v>4.2380952380952381</v>
      </c>
    </row>
    <row r="91" spans="1:5" x14ac:dyDescent="0.25">
      <c r="A91" s="8" t="s">
        <v>23</v>
      </c>
      <c r="B91" s="9">
        <v>1062.4200000000003</v>
      </c>
      <c r="C91" s="9">
        <v>670.3399999999998</v>
      </c>
      <c r="D91" s="42">
        <v>94</v>
      </c>
      <c r="E91" s="42">
        <v>4.2021276595744679</v>
      </c>
    </row>
    <row r="92" spans="1:5" x14ac:dyDescent="0.25">
      <c r="A92" s="8" t="s">
        <v>33</v>
      </c>
      <c r="B92" s="9">
        <v>539.26999999999987</v>
      </c>
      <c r="C92" s="9">
        <v>341.51</v>
      </c>
      <c r="D92" s="42">
        <v>51</v>
      </c>
      <c r="E92" s="42">
        <v>4.117647058823529</v>
      </c>
    </row>
    <row r="93" spans="1:5" x14ac:dyDescent="0.25">
      <c r="A93" s="8" t="s">
        <v>70</v>
      </c>
      <c r="B93" s="9">
        <v>1150.4500000000005</v>
      </c>
      <c r="C93" s="9">
        <v>730.24999999999989</v>
      </c>
      <c r="D93" s="42">
        <v>94</v>
      </c>
      <c r="E93" s="42">
        <v>4.2021276595744679</v>
      </c>
    </row>
    <row r="94" spans="1:5" x14ac:dyDescent="0.25">
      <c r="A94" s="8" t="s">
        <v>61</v>
      </c>
      <c r="B94" s="9">
        <v>1691.6399999999996</v>
      </c>
      <c r="C94" s="9">
        <v>1055.9700000000005</v>
      </c>
      <c r="D94" s="42">
        <v>135</v>
      </c>
      <c r="E94" s="42">
        <v>4.2222222222222223</v>
      </c>
    </row>
    <row r="95" spans="1:5" x14ac:dyDescent="0.25">
      <c r="A95" s="8" t="s">
        <v>1015</v>
      </c>
      <c r="B95" s="9">
        <v>5783.810000000004</v>
      </c>
      <c r="C95" s="9">
        <v>3640.3799999999983</v>
      </c>
      <c r="D95" s="42">
        <v>500</v>
      </c>
      <c r="E95" s="42">
        <v>4.1840000000000002</v>
      </c>
    </row>
  </sheetData>
  <mergeCells count="4">
    <mergeCell ref="A1:C1"/>
    <mergeCell ref="A8:C8"/>
    <mergeCell ref="A9:C9"/>
    <mergeCell ref="A25:C25"/>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A4B92-6B7F-4D9B-A028-C2EC75563108}">
  <dimension ref="A1:S47"/>
  <sheetViews>
    <sheetView showGridLines="0" tabSelected="1" topLeftCell="A3" zoomScale="50" zoomScaleNormal="55" workbookViewId="0">
      <selection activeCell="D7" sqref="D7"/>
    </sheetView>
  </sheetViews>
  <sheetFormatPr defaultRowHeight="15" x14ac:dyDescent="0.25"/>
  <cols>
    <col min="1" max="2" width="17.5703125" customWidth="1"/>
    <col min="3" max="3" width="11.140625" customWidth="1"/>
    <col min="4" max="4" width="15.7109375" customWidth="1"/>
    <col min="5" max="14" width="17.5703125" customWidth="1"/>
    <col min="15" max="15" width="19.42578125" customWidth="1"/>
    <col min="16" max="18" width="17.5703125" customWidth="1"/>
  </cols>
  <sheetData>
    <row r="1" spans="1:19" x14ac:dyDescent="0.25">
      <c r="A1" s="15"/>
      <c r="B1" s="15"/>
      <c r="C1" s="15"/>
      <c r="D1" s="15"/>
      <c r="E1" s="15"/>
      <c r="F1" s="15"/>
      <c r="G1" s="15"/>
      <c r="H1" s="15"/>
      <c r="I1" s="15"/>
      <c r="J1" s="15"/>
      <c r="K1" s="15"/>
      <c r="L1" s="15"/>
      <c r="M1" s="15"/>
      <c r="N1" s="15"/>
      <c r="O1" s="15"/>
      <c r="P1" s="15"/>
      <c r="Q1" s="15"/>
      <c r="R1" s="16"/>
    </row>
    <row r="2" spans="1:19" ht="15" customHeight="1" x14ac:dyDescent="0.25">
      <c r="A2" s="15"/>
      <c r="B2" s="15"/>
      <c r="C2" s="15"/>
      <c r="D2" s="15"/>
      <c r="E2" s="33" t="s">
        <v>1043</v>
      </c>
      <c r="F2" s="34"/>
      <c r="G2" s="34"/>
      <c r="H2" s="34"/>
      <c r="I2" s="34"/>
      <c r="J2" s="34"/>
      <c r="K2" s="34"/>
      <c r="L2" s="34"/>
      <c r="M2" s="34"/>
      <c r="N2" s="35"/>
      <c r="O2" s="15"/>
      <c r="P2" s="15"/>
      <c r="Q2" s="15"/>
      <c r="R2" s="16"/>
    </row>
    <row r="3" spans="1:19" ht="15" customHeight="1" x14ac:dyDescent="0.25">
      <c r="A3" s="15"/>
      <c r="B3" s="15"/>
      <c r="C3" s="15"/>
      <c r="D3" s="15"/>
      <c r="E3" s="36"/>
      <c r="F3" s="37"/>
      <c r="G3" s="37"/>
      <c r="H3" s="37"/>
      <c r="I3" s="37"/>
      <c r="J3" s="37"/>
      <c r="K3" s="37"/>
      <c r="L3" s="37"/>
      <c r="M3" s="37"/>
      <c r="N3" s="38"/>
      <c r="O3" s="15"/>
      <c r="P3" s="15"/>
      <c r="Q3" s="15"/>
      <c r="R3" s="16"/>
    </row>
    <row r="4" spans="1:19" x14ac:dyDescent="0.25">
      <c r="A4" s="14"/>
      <c r="B4" s="15"/>
      <c r="C4" s="15"/>
      <c r="D4" s="15"/>
      <c r="E4" s="39"/>
      <c r="F4" s="40"/>
      <c r="G4" s="40"/>
      <c r="H4" s="40"/>
      <c r="I4" s="40"/>
      <c r="J4" s="40"/>
      <c r="K4" s="40"/>
      <c r="L4" s="40"/>
      <c r="M4" s="40"/>
      <c r="N4" s="41"/>
      <c r="O4" s="15"/>
      <c r="P4" s="15"/>
      <c r="Q4" s="15"/>
      <c r="R4" s="16"/>
    </row>
    <row r="5" spans="1:19" x14ac:dyDescent="0.25">
      <c r="A5" s="14"/>
      <c r="B5" s="15"/>
      <c r="C5" s="15"/>
      <c r="D5" s="15"/>
      <c r="E5" s="15"/>
      <c r="F5" s="15"/>
      <c r="G5" s="15"/>
      <c r="H5" s="15"/>
      <c r="I5" s="15"/>
      <c r="J5" s="15"/>
      <c r="K5" s="15"/>
      <c r="L5" s="15"/>
      <c r="M5" s="15"/>
      <c r="N5" s="15"/>
      <c r="O5" s="15"/>
      <c r="P5" s="15"/>
      <c r="Q5" s="15"/>
      <c r="R5" s="16"/>
    </row>
    <row r="6" spans="1:19" ht="24" customHeight="1" x14ac:dyDescent="0.25">
      <c r="A6" s="14"/>
      <c r="B6" s="15"/>
      <c r="C6" s="32" t="s">
        <v>1044</v>
      </c>
      <c r="D6" s="32"/>
      <c r="E6" s="15"/>
      <c r="F6" s="32" t="s">
        <v>1010</v>
      </c>
      <c r="G6" s="32"/>
      <c r="H6" s="15"/>
      <c r="I6" s="32" t="s">
        <v>1011</v>
      </c>
      <c r="J6" s="32"/>
      <c r="K6" s="15"/>
      <c r="L6" s="32" t="s">
        <v>1012</v>
      </c>
      <c r="M6" s="32"/>
      <c r="N6" s="15"/>
      <c r="O6" s="32" t="s">
        <v>1050</v>
      </c>
      <c r="P6" s="32"/>
      <c r="Q6" s="15"/>
      <c r="R6" s="16"/>
    </row>
    <row r="7" spans="1:19" ht="27" customHeight="1" x14ac:dyDescent="0.25">
      <c r="A7" s="14"/>
      <c r="B7" s="15"/>
      <c r="C7" s="26" t="s">
        <v>1045</v>
      </c>
      <c r="D7" s="28">
        <f>calculation!B2</f>
        <v>5783.8099999999986</v>
      </c>
      <c r="E7" s="15"/>
      <c r="F7" s="26" t="s">
        <v>1046</v>
      </c>
      <c r="G7" s="30">
        <f>calculation!B3</f>
        <v>3640.38</v>
      </c>
      <c r="H7" s="15"/>
      <c r="I7" s="26" t="s">
        <v>1047</v>
      </c>
      <c r="J7" s="28">
        <f>calculation!B4</f>
        <v>500</v>
      </c>
      <c r="K7" s="15"/>
      <c r="L7" s="27" t="s">
        <v>1048</v>
      </c>
      <c r="M7" s="29">
        <f>calculation!B5</f>
        <v>11.567619999999998</v>
      </c>
      <c r="N7" s="15"/>
      <c r="O7" s="26" t="s">
        <v>1049</v>
      </c>
      <c r="P7" s="28">
        <f>calculation!B6</f>
        <v>4.1840000000000002</v>
      </c>
      <c r="Q7" s="15"/>
      <c r="R7" s="17"/>
      <c r="S7" s="13"/>
    </row>
    <row r="8" spans="1:19" ht="15.75" x14ac:dyDescent="0.25">
      <c r="A8" s="14"/>
      <c r="B8" s="15"/>
      <c r="C8" s="15"/>
      <c r="D8" s="15"/>
      <c r="E8" s="15"/>
      <c r="F8" s="15"/>
      <c r="G8" s="15"/>
      <c r="H8" s="15"/>
      <c r="I8" s="15"/>
      <c r="J8" s="15"/>
      <c r="K8" s="15"/>
      <c r="L8" s="15"/>
      <c r="M8" s="15"/>
      <c r="N8" s="15"/>
      <c r="O8" s="15"/>
      <c r="P8" s="15"/>
      <c r="Q8" s="15"/>
      <c r="R8" s="18"/>
      <c r="S8" s="12"/>
    </row>
    <row r="9" spans="1:19" x14ac:dyDescent="0.25">
      <c r="A9" s="14"/>
      <c r="B9" s="15"/>
      <c r="C9" s="15"/>
      <c r="D9" s="15"/>
      <c r="E9" s="15"/>
      <c r="F9" s="15"/>
      <c r="G9" s="15"/>
      <c r="H9" s="15"/>
      <c r="I9" s="15"/>
      <c r="J9" s="15"/>
      <c r="K9" s="15"/>
      <c r="L9" s="15"/>
      <c r="M9" s="15"/>
      <c r="N9" s="15"/>
      <c r="O9" s="15"/>
      <c r="P9" s="15"/>
      <c r="Q9" s="15"/>
      <c r="R9" s="16"/>
    </row>
    <row r="10" spans="1:19" ht="20.25" customHeight="1" x14ac:dyDescent="0.25">
      <c r="A10" s="14"/>
      <c r="B10" s="15"/>
      <c r="C10" s="15"/>
      <c r="D10" s="15"/>
      <c r="E10" s="15"/>
      <c r="F10" s="15"/>
      <c r="G10" s="15"/>
      <c r="H10" s="15"/>
      <c r="I10" s="15"/>
      <c r="J10" s="15"/>
      <c r="K10" s="15"/>
      <c r="L10" s="15"/>
      <c r="M10" s="15"/>
      <c r="N10" s="15"/>
      <c r="O10" s="15"/>
      <c r="P10" s="15"/>
      <c r="Q10" s="15"/>
      <c r="R10" s="16"/>
    </row>
    <row r="11" spans="1:19" ht="20.25" customHeight="1" x14ac:dyDescent="0.25">
      <c r="A11" s="14"/>
      <c r="B11" s="15"/>
      <c r="C11" s="15"/>
      <c r="D11" s="15"/>
      <c r="E11" s="15"/>
      <c r="F11" s="15"/>
      <c r="G11" s="15"/>
      <c r="H11" s="15"/>
      <c r="I11" s="15"/>
      <c r="J11" s="15"/>
      <c r="K11" s="15"/>
      <c r="L11" s="15"/>
      <c r="M11" s="15"/>
      <c r="N11" s="15"/>
      <c r="O11" s="15"/>
      <c r="P11" s="15"/>
      <c r="Q11" s="15"/>
      <c r="R11" s="16"/>
    </row>
    <row r="12" spans="1:19" ht="20.25" customHeight="1" x14ac:dyDescent="0.25">
      <c r="A12" s="14"/>
      <c r="B12" s="15"/>
      <c r="C12" s="15"/>
      <c r="D12" s="15"/>
      <c r="E12" s="15"/>
      <c r="F12" s="15"/>
      <c r="G12" s="15"/>
      <c r="H12" s="15"/>
      <c r="I12" s="15"/>
      <c r="J12" s="15"/>
      <c r="K12" s="15"/>
      <c r="L12" s="15"/>
      <c r="M12" s="15"/>
      <c r="N12" s="15"/>
      <c r="O12" s="15"/>
      <c r="P12" s="15"/>
      <c r="Q12" s="15"/>
      <c r="R12" s="16"/>
    </row>
    <row r="13" spans="1:19" ht="20.25" customHeight="1" x14ac:dyDescent="0.25">
      <c r="A13" s="14"/>
      <c r="B13" s="15"/>
      <c r="C13" s="15"/>
      <c r="D13" s="15"/>
      <c r="E13" s="15"/>
      <c r="F13" s="15"/>
      <c r="G13" s="15"/>
      <c r="H13" s="15"/>
      <c r="I13" s="15"/>
      <c r="J13" s="15"/>
      <c r="K13" s="15"/>
      <c r="L13" s="15"/>
      <c r="M13" s="15"/>
      <c r="N13" s="15"/>
      <c r="O13" s="15"/>
      <c r="P13" s="15"/>
      <c r="Q13" s="15"/>
      <c r="R13" s="16"/>
    </row>
    <row r="14" spans="1:19" ht="20.25" customHeight="1" x14ac:dyDescent="0.25">
      <c r="A14" s="14"/>
      <c r="B14" s="15"/>
      <c r="C14" s="15"/>
      <c r="D14" s="15"/>
      <c r="E14" s="15"/>
      <c r="F14" s="15"/>
      <c r="G14" s="15"/>
      <c r="H14" s="15"/>
      <c r="I14" s="15"/>
      <c r="J14" s="15"/>
      <c r="K14" s="15"/>
      <c r="L14" s="15"/>
      <c r="M14" s="15"/>
      <c r="N14" s="15"/>
      <c r="O14" s="15"/>
      <c r="P14" s="15"/>
      <c r="Q14" s="15"/>
      <c r="R14" s="16"/>
    </row>
    <row r="15" spans="1:19" ht="20.25" customHeight="1" x14ac:dyDescent="0.25">
      <c r="A15" s="14"/>
      <c r="B15" s="15"/>
      <c r="C15" s="15"/>
      <c r="D15" s="15"/>
      <c r="E15" s="15"/>
      <c r="F15" s="15"/>
      <c r="G15" s="15"/>
      <c r="H15" s="15"/>
      <c r="I15" s="15"/>
      <c r="J15" s="15"/>
      <c r="K15" s="15"/>
      <c r="L15" s="15"/>
      <c r="M15" s="15"/>
      <c r="N15" s="15"/>
      <c r="O15" s="15"/>
      <c r="P15" s="15"/>
      <c r="Q15" s="15"/>
      <c r="R15" s="16"/>
    </row>
    <row r="16" spans="1:19" ht="20.25" customHeight="1" x14ac:dyDescent="0.25">
      <c r="A16" s="14"/>
      <c r="B16" s="15"/>
      <c r="C16" s="15"/>
      <c r="D16" s="15"/>
      <c r="E16" s="15"/>
      <c r="F16" s="15"/>
      <c r="G16" s="15"/>
      <c r="H16" s="15"/>
      <c r="I16" s="15"/>
      <c r="J16" s="15"/>
      <c r="K16" s="15"/>
      <c r="L16" s="15"/>
      <c r="M16" s="15"/>
      <c r="N16" s="15"/>
      <c r="O16" s="15"/>
      <c r="P16" s="15"/>
      <c r="Q16" s="15"/>
      <c r="R16" s="16"/>
    </row>
    <row r="17" spans="1:18" ht="20.25" customHeight="1" x14ac:dyDescent="0.25">
      <c r="A17" s="14"/>
      <c r="B17" s="15"/>
      <c r="C17" s="15"/>
      <c r="D17" s="15"/>
      <c r="E17" s="15"/>
      <c r="F17" s="15"/>
      <c r="G17" s="15"/>
      <c r="H17" s="15"/>
      <c r="I17" s="15"/>
      <c r="J17" s="15"/>
      <c r="K17" s="15"/>
      <c r="L17" s="15"/>
      <c r="M17" s="15"/>
      <c r="N17" s="15"/>
      <c r="O17" s="15"/>
      <c r="P17" s="15"/>
      <c r="Q17" s="15"/>
      <c r="R17" s="16"/>
    </row>
    <row r="18" spans="1:18" ht="20.25" customHeight="1" x14ac:dyDescent="0.25">
      <c r="A18" s="14"/>
      <c r="B18" s="15"/>
      <c r="C18" s="15"/>
      <c r="D18" s="15"/>
      <c r="E18" s="15"/>
      <c r="F18" s="15"/>
      <c r="G18" s="15"/>
      <c r="H18" s="15"/>
      <c r="I18" s="15"/>
      <c r="J18" s="15"/>
      <c r="K18" s="15"/>
      <c r="L18" s="15"/>
      <c r="M18" s="15"/>
      <c r="N18" s="15"/>
      <c r="O18" s="15"/>
      <c r="P18" s="15"/>
      <c r="Q18" s="15"/>
      <c r="R18" s="16"/>
    </row>
    <row r="19" spans="1:18" ht="20.25" customHeight="1" x14ac:dyDescent="0.25">
      <c r="A19" s="14"/>
      <c r="B19" s="15"/>
      <c r="C19" s="15"/>
      <c r="D19" s="15"/>
      <c r="E19" s="15"/>
      <c r="F19" s="15"/>
      <c r="G19" s="15"/>
      <c r="H19" s="15"/>
      <c r="I19" s="15"/>
      <c r="J19" s="15"/>
      <c r="K19" s="15"/>
      <c r="L19" s="15"/>
      <c r="M19" s="15"/>
      <c r="N19" s="15"/>
      <c r="O19" s="15"/>
      <c r="P19" s="15"/>
      <c r="Q19" s="15"/>
      <c r="R19" s="16"/>
    </row>
    <row r="20" spans="1:18" ht="20.25" customHeight="1" x14ac:dyDescent="0.25">
      <c r="A20" s="14"/>
      <c r="B20" s="15"/>
      <c r="C20" s="15"/>
      <c r="D20" s="15"/>
      <c r="E20" s="15"/>
      <c r="F20" s="15"/>
      <c r="G20" s="15"/>
      <c r="H20" s="15"/>
      <c r="I20" s="15"/>
      <c r="J20" s="15"/>
      <c r="K20" s="15"/>
      <c r="L20" s="15"/>
      <c r="M20" s="15"/>
      <c r="N20" s="15"/>
      <c r="O20" s="15"/>
      <c r="P20" s="15"/>
      <c r="Q20" s="15"/>
      <c r="R20" s="16"/>
    </row>
    <row r="21" spans="1:18" ht="20.25" customHeight="1" x14ac:dyDescent="0.25">
      <c r="A21" s="14"/>
      <c r="B21" s="15"/>
      <c r="C21" s="15"/>
      <c r="D21" s="15"/>
      <c r="E21" s="15"/>
      <c r="F21" s="15"/>
      <c r="G21" s="15"/>
      <c r="H21" s="15"/>
      <c r="I21" s="15"/>
      <c r="J21" s="15"/>
      <c r="K21" s="15"/>
      <c r="L21" s="15"/>
      <c r="M21" s="15"/>
      <c r="N21" s="15"/>
      <c r="O21" s="15"/>
      <c r="P21" s="15"/>
      <c r="Q21" s="15"/>
      <c r="R21" s="16"/>
    </row>
    <row r="22" spans="1:18" x14ac:dyDescent="0.25">
      <c r="A22" s="14"/>
      <c r="B22" s="15"/>
      <c r="C22" s="15"/>
      <c r="D22" s="15"/>
      <c r="E22" s="15"/>
      <c r="F22" s="15"/>
      <c r="G22" s="15"/>
      <c r="H22" s="15"/>
      <c r="I22" s="15"/>
      <c r="J22" s="15"/>
      <c r="K22" s="15"/>
      <c r="L22" s="15"/>
      <c r="M22" s="15"/>
      <c r="N22" s="15"/>
      <c r="O22" s="15"/>
      <c r="P22" s="15"/>
      <c r="Q22" s="15"/>
      <c r="R22" s="16"/>
    </row>
    <row r="23" spans="1:18" x14ac:dyDescent="0.25">
      <c r="A23" s="14"/>
      <c r="B23" s="15"/>
      <c r="C23" s="15"/>
      <c r="D23" s="15"/>
      <c r="E23" s="15"/>
      <c r="F23" s="15"/>
      <c r="G23" s="15"/>
      <c r="H23" s="15"/>
      <c r="I23" s="15"/>
      <c r="J23" s="15"/>
      <c r="K23" s="15"/>
      <c r="L23" s="15"/>
      <c r="M23" s="15"/>
      <c r="N23" s="15"/>
      <c r="O23" s="15"/>
      <c r="P23" s="15"/>
      <c r="Q23" s="15"/>
      <c r="R23" s="16"/>
    </row>
    <row r="24" spans="1:18" x14ac:dyDescent="0.25">
      <c r="A24" s="14"/>
      <c r="B24" s="15"/>
      <c r="C24" s="15"/>
      <c r="D24" s="15"/>
      <c r="E24" s="15"/>
      <c r="F24" s="15"/>
      <c r="G24" s="15"/>
      <c r="H24" s="15"/>
      <c r="I24" s="15"/>
      <c r="J24" s="15"/>
      <c r="K24" s="15"/>
      <c r="L24" s="15"/>
      <c r="M24" s="15"/>
      <c r="N24" s="15"/>
      <c r="O24" s="15"/>
      <c r="P24" s="15"/>
      <c r="Q24" s="15"/>
      <c r="R24" s="16"/>
    </row>
    <row r="25" spans="1:18" x14ac:dyDescent="0.25">
      <c r="A25" s="14"/>
      <c r="B25" s="15"/>
      <c r="C25" s="15"/>
      <c r="D25" s="15"/>
      <c r="E25" s="15"/>
      <c r="F25" s="15"/>
      <c r="G25" s="15"/>
      <c r="H25" s="15"/>
      <c r="I25" s="15"/>
      <c r="J25" s="15"/>
      <c r="K25" s="15"/>
      <c r="L25" s="15"/>
      <c r="M25" s="15"/>
      <c r="N25" s="15"/>
      <c r="O25" s="15"/>
      <c r="P25" s="15"/>
      <c r="Q25" s="15"/>
      <c r="R25" s="16"/>
    </row>
    <row r="26" spans="1:18" x14ac:dyDescent="0.25">
      <c r="A26" s="14"/>
      <c r="B26" s="15"/>
      <c r="C26" s="15"/>
      <c r="D26" s="15"/>
      <c r="E26" s="15"/>
      <c r="F26" s="15"/>
      <c r="G26" s="15"/>
      <c r="H26" s="15"/>
      <c r="I26" s="15"/>
      <c r="J26" s="15"/>
      <c r="K26" s="15"/>
      <c r="L26" s="15"/>
      <c r="M26" s="15"/>
      <c r="N26" s="15"/>
      <c r="O26" s="15"/>
      <c r="P26" s="15"/>
      <c r="Q26" s="15"/>
      <c r="R26" s="16"/>
    </row>
    <row r="27" spans="1:18" x14ac:dyDescent="0.25">
      <c r="A27" s="14"/>
      <c r="B27" s="15"/>
      <c r="C27" s="15"/>
      <c r="D27" s="15"/>
      <c r="E27" s="15"/>
      <c r="F27" s="15"/>
      <c r="G27" s="15"/>
      <c r="H27" s="15"/>
      <c r="I27" s="15"/>
      <c r="J27" s="15"/>
      <c r="K27" s="15"/>
      <c r="L27" s="15"/>
      <c r="M27" s="15"/>
      <c r="N27" s="15"/>
      <c r="O27" s="15"/>
      <c r="P27" s="15"/>
      <c r="Q27" s="15"/>
      <c r="R27" s="16"/>
    </row>
    <row r="28" spans="1:18" x14ac:dyDescent="0.25">
      <c r="A28" s="14"/>
      <c r="B28" s="15"/>
      <c r="C28" s="15"/>
      <c r="D28" s="15"/>
      <c r="E28" s="15"/>
      <c r="F28" s="15"/>
      <c r="G28" s="15"/>
      <c r="H28" s="15"/>
      <c r="I28" s="15"/>
      <c r="J28" s="15"/>
      <c r="K28" s="15"/>
      <c r="L28" s="15"/>
      <c r="M28" s="15"/>
      <c r="N28" s="15"/>
      <c r="O28" s="15"/>
      <c r="P28" s="15"/>
      <c r="Q28" s="15"/>
      <c r="R28" s="16"/>
    </row>
    <row r="29" spans="1:18" x14ac:dyDescent="0.25">
      <c r="A29" s="14"/>
      <c r="B29" s="15"/>
      <c r="C29" s="15"/>
      <c r="D29" s="15"/>
      <c r="E29" s="15"/>
      <c r="F29" s="15"/>
      <c r="G29" s="15"/>
      <c r="H29" s="15"/>
      <c r="I29" s="15"/>
      <c r="J29" s="15"/>
      <c r="K29" s="15"/>
      <c r="L29" s="15"/>
      <c r="M29" s="15"/>
      <c r="N29" s="15"/>
      <c r="O29" s="15"/>
      <c r="P29" s="15"/>
      <c r="Q29" s="15"/>
      <c r="R29" s="16"/>
    </row>
    <row r="30" spans="1:18" x14ac:dyDescent="0.25">
      <c r="A30" s="14"/>
      <c r="B30" s="15"/>
      <c r="C30" s="15"/>
      <c r="D30" s="15"/>
      <c r="E30" s="15"/>
      <c r="F30" s="15"/>
      <c r="G30" s="15"/>
      <c r="H30" s="15"/>
      <c r="I30" s="15"/>
      <c r="J30" s="15"/>
      <c r="K30" s="15"/>
      <c r="L30" s="15"/>
      <c r="M30" s="15"/>
      <c r="N30" s="15"/>
      <c r="O30" s="15"/>
      <c r="P30" s="15"/>
      <c r="Q30" s="15"/>
      <c r="R30" s="16"/>
    </row>
    <row r="31" spans="1:18" x14ac:dyDescent="0.25">
      <c r="A31" s="14"/>
      <c r="B31" s="15"/>
      <c r="C31" s="15"/>
      <c r="D31" s="15"/>
      <c r="E31" s="15"/>
      <c r="F31" s="15"/>
      <c r="G31" s="15"/>
      <c r="H31" s="15"/>
      <c r="I31" s="15"/>
      <c r="J31" s="15"/>
      <c r="K31" s="15"/>
      <c r="L31" s="15"/>
      <c r="M31" s="15"/>
      <c r="N31" s="15"/>
      <c r="O31" s="15"/>
      <c r="P31" s="15"/>
      <c r="Q31" s="15"/>
      <c r="R31" s="16"/>
    </row>
    <row r="32" spans="1:18" x14ac:dyDescent="0.25">
      <c r="A32" s="14"/>
      <c r="B32" s="15"/>
      <c r="C32" s="15"/>
      <c r="D32" s="15"/>
      <c r="E32" s="15"/>
      <c r="F32" s="15"/>
      <c r="G32" s="15"/>
      <c r="H32" s="15"/>
      <c r="I32" s="15"/>
      <c r="J32" s="15"/>
      <c r="K32" s="15"/>
      <c r="L32" s="15"/>
      <c r="M32" s="15"/>
      <c r="N32" s="15"/>
      <c r="O32" s="15"/>
      <c r="P32" s="15"/>
      <c r="Q32" s="15"/>
      <c r="R32" s="16"/>
    </row>
    <row r="33" spans="1:18" x14ac:dyDescent="0.25">
      <c r="A33" s="14"/>
      <c r="B33" s="15"/>
      <c r="C33" s="15"/>
      <c r="D33" s="15"/>
      <c r="E33" s="15"/>
      <c r="F33" s="15"/>
      <c r="G33" s="15"/>
      <c r="H33" s="15"/>
      <c r="I33" s="15"/>
      <c r="J33" s="15"/>
      <c r="K33" s="15"/>
      <c r="L33" s="15"/>
      <c r="M33" s="15"/>
      <c r="N33" s="15"/>
      <c r="O33" s="15"/>
      <c r="P33" s="15"/>
      <c r="Q33" s="15"/>
      <c r="R33" s="16"/>
    </row>
    <row r="34" spans="1:18" x14ac:dyDescent="0.25">
      <c r="A34" s="14"/>
      <c r="B34" s="15"/>
      <c r="C34" s="15"/>
      <c r="D34" s="15"/>
      <c r="E34" s="15"/>
      <c r="F34" s="15"/>
      <c r="G34" s="15"/>
      <c r="H34" s="15"/>
      <c r="I34" s="15"/>
      <c r="J34" s="15"/>
      <c r="K34" s="15"/>
      <c r="L34" s="15"/>
      <c r="M34" s="15"/>
      <c r="N34" s="15"/>
      <c r="O34" s="15"/>
      <c r="P34" s="15"/>
      <c r="Q34" s="15"/>
      <c r="R34" s="16"/>
    </row>
    <row r="35" spans="1:18" x14ac:dyDescent="0.25">
      <c r="A35" s="14"/>
      <c r="B35" s="15"/>
      <c r="C35" s="15"/>
      <c r="D35" s="15"/>
      <c r="E35" s="15"/>
      <c r="F35" s="15"/>
      <c r="G35" s="15"/>
      <c r="H35" s="15"/>
      <c r="I35" s="15"/>
      <c r="J35" s="15"/>
      <c r="K35" s="15"/>
      <c r="L35" s="15"/>
      <c r="M35" s="15"/>
      <c r="N35" s="15"/>
      <c r="O35" s="15"/>
      <c r="P35" s="15"/>
      <c r="Q35" s="15"/>
      <c r="R35" s="16"/>
    </row>
    <row r="36" spans="1:18" x14ac:dyDescent="0.25">
      <c r="A36" s="14"/>
      <c r="B36" s="15"/>
      <c r="C36" s="15"/>
      <c r="D36" s="15"/>
      <c r="E36" s="15"/>
      <c r="F36" s="15"/>
      <c r="G36" s="15"/>
      <c r="H36" s="15"/>
      <c r="I36" s="15"/>
      <c r="J36" s="15"/>
      <c r="K36" s="15"/>
      <c r="L36" s="15"/>
      <c r="M36" s="15"/>
      <c r="N36" s="15"/>
      <c r="O36" s="15"/>
      <c r="P36" s="15"/>
      <c r="Q36" s="15"/>
      <c r="R36" s="16"/>
    </row>
    <row r="37" spans="1:18" x14ac:dyDescent="0.25">
      <c r="A37" s="14"/>
      <c r="B37" s="15"/>
      <c r="C37" s="15"/>
      <c r="D37" s="15"/>
      <c r="E37" s="15"/>
      <c r="F37" s="15"/>
      <c r="G37" s="15"/>
      <c r="H37" s="15"/>
      <c r="I37" s="15"/>
      <c r="J37" s="15"/>
      <c r="K37" s="15"/>
      <c r="L37" s="15"/>
      <c r="M37" s="15"/>
      <c r="N37" s="15"/>
      <c r="O37" s="15"/>
      <c r="P37" s="15"/>
      <c r="Q37" s="15"/>
      <c r="R37" s="16"/>
    </row>
    <row r="38" spans="1:18" x14ac:dyDescent="0.25">
      <c r="A38" s="14"/>
      <c r="B38" s="15"/>
      <c r="C38" s="15"/>
      <c r="D38" s="15"/>
      <c r="E38" s="15"/>
      <c r="F38" s="15"/>
      <c r="G38" s="15"/>
      <c r="H38" s="15"/>
      <c r="I38" s="15"/>
      <c r="J38" s="15"/>
      <c r="K38" s="15"/>
      <c r="L38" s="15"/>
      <c r="M38" s="15"/>
      <c r="N38" s="15"/>
      <c r="O38" s="15"/>
      <c r="P38" s="15"/>
      <c r="Q38" s="15"/>
      <c r="R38" s="16"/>
    </row>
    <row r="39" spans="1:18" ht="18.75" x14ac:dyDescent="0.25">
      <c r="A39" s="14"/>
      <c r="B39" s="15"/>
      <c r="C39" s="15"/>
      <c r="D39" s="15"/>
      <c r="E39" s="15"/>
      <c r="F39" s="24" t="s">
        <v>3</v>
      </c>
      <c r="G39" s="24" t="s">
        <v>13</v>
      </c>
      <c r="H39" s="24" t="s">
        <v>15</v>
      </c>
      <c r="I39" s="24" t="s">
        <v>1036</v>
      </c>
      <c r="J39" s="24" t="s">
        <v>1037</v>
      </c>
      <c r="K39" s="15"/>
      <c r="L39" s="15"/>
      <c r="M39" s="15"/>
      <c r="N39" s="15"/>
      <c r="O39" s="15"/>
      <c r="P39" s="15"/>
      <c r="Q39" s="15"/>
      <c r="R39" s="16"/>
    </row>
    <row r="40" spans="1:18" ht="18.75" x14ac:dyDescent="0.25">
      <c r="A40" s="14"/>
      <c r="B40" s="15"/>
      <c r="C40" s="15"/>
      <c r="D40" s="15"/>
      <c r="E40" s="15"/>
      <c r="F40" s="25" t="s">
        <v>119</v>
      </c>
      <c r="G40" s="22">
        <f>SUMIF(TransactionsTable500[Country],"australia",TransactionsTable500[Net Sales])</f>
        <v>285.62</v>
      </c>
      <c r="H40" s="22">
        <f ca="1">SUMIF(city,"australia",TransactionsTable500[Profit])</f>
        <v>295.96999999999991</v>
      </c>
      <c r="I40" s="22">
        <f>COUNTIF(city,"australia")</f>
        <v>32</v>
      </c>
      <c r="J40" s="23">
        <f ca="1">AVERAGEIF(city,"australia",TransactionsTable500[Customer Rating])</f>
        <v>4.28125</v>
      </c>
      <c r="K40" s="15"/>
      <c r="L40" s="15"/>
      <c r="M40" s="15"/>
      <c r="N40" s="15"/>
      <c r="O40" s="15"/>
      <c r="P40" s="15"/>
      <c r="Q40" s="15"/>
      <c r="R40" s="16"/>
    </row>
    <row r="41" spans="1:18" ht="18.75" x14ac:dyDescent="0.25">
      <c r="A41" s="14"/>
      <c r="B41" s="15"/>
      <c r="C41" s="15"/>
      <c r="D41" s="15"/>
      <c r="E41" s="15"/>
      <c r="F41" s="25" t="s">
        <v>1051</v>
      </c>
      <c r="G41" s="22">
        <f>SUMIF(TransactionsTable500[Country],"canada",TransactionsTable500[Net Sales])</f>
        <v>320.74999999999994</v>
      </c>
      <c r="H41" s="22">
        <f ca="1">SUMIF(city,"canada",TransactionsTable500[Profit])</f>
        <v>230.40999999999997</v>
      </c>
      <c r="I41" s="22">
        <f>COUNTIF(city,"canada")</f>
        <v>31</v>
      </c>
      <c r="J41" s="23">
        <f ca="1">AVERAGEIF(city,"canada",TransactionsTable500[Customer Rating])</f>
        <v>4.129032258064516</v>
      </c>
      <c r="K41" s="15"/>
      <c r="L41" s="15"/>
      <c r="M41" s="15"/>
      <c r="N41" s="15"/>
      <c r="O41" s="15"/>
      <c r="P41" s="15"/>
      <c r="Q41" s="15"/>
      <c r="R41" s="16"/>
    </row>
    <row r="42" spans="1:18" ht="18.75" x14ac:dyDescent="0.25">
      <c r="A42" s="14"/>
      <c r="B42" s="15"/>
      <c r="C42" s="15"/>
      <c r="D42" s="15"/>
      <c r="E42" s="15"/>
      <c r="F42" s="25" t="s">
        <v>43</v>
      </c>
      <c r="G42" s="22">
        <f>SUMIF(TransactionsTable500[Country],"germany",TransactionsTable500[Net Sales])</f>
        <v>733.66000000000008</v>
      </c>
      <c r="H42" s="22">
        <f ca="1">SUMIF(city,"germany",TransactionsTable500[Profit])</f>
        <v>589.7700000000001</v>
      </c>
      <c r="I42" s="22">
        <f>COUNTIF(city,"germany")</f>
        <v>63</v>
      </c>
      <c r="J42" s="23">
        <f ca="1">AVERAGEIF(city,"germany",TransactionsTable500[Customer Rating])</f>
        <v>4.4285714285714288</v>
      </c>
      <c r="K42" s="15"/>
      <c r="L42" s="15"/>
      <c r="M42" s="15"/>
      <c r="N42" s="15"/>
      <c r="O42" s="15"/>
      <c r="P42" s="15"/>
      <c r="Q42" s="15"/>
      <c r="R42" s="16"/>
    </row>
    <row r="43" spans="1:18" ht="18.75" x14ac:dyDescent="0.25">
      <c r="A43" s="14"/>
      <c r="B43" s="15"/>
      <c r="C43" s="15"/>
      <c r="D43" s="15"/>
      <c r="E43" s="15"/>
      <c r="F43" s="25" t="s">
        <v>1040</v>
      </c>
      <c r="G43" s="22">
        <f>SUMIF(TransactionsTable500[Country],"india",TransactionsTable500[Net Sales])</f>
        <v>1062.4200000000003</v>
      </c>
      <c r="H43" s="22">
        <f ca="1">SUMIF(city,"india",TransactionsTable500[Profit])</f>
        <v>576.1099999999999</v>
      </c>
      <c r="I43" s="22">
        <f>COUNTIF(city,"india")</f>
        <v>94</v>
      </c>
      <c r="J43" s="23">
        <f ca="1">AVERAGEIF(city,"india",TransactionsTable500[Customer Rating])</f>
        <v>4.3085106382978724</v>
      </c>
      <c r="K43" s="15"/>
      <c r="L43" s="15"/>
      <c r="M43" s="15"/>
      <c r="N43" s="15"/>
      <c r="O43" s="15"/>
      <c r="P43" s="15"/>
      <c r="Q43" s="15"/>
      <c r="R43" s="16"/>
    </row>
    <row r="44" spans="1:18" ht="18.75" x14ac:dyDescent="0.25">
      <c r="A44" s="14"/>
      <c r="B44" s="15"/>
      <c r="C44" s="15"/>
      <c r="D44" s="15"/>
      <c r="E44" s="15"/>
      <c r="F44" s="25" t="s">
        <v>33</v>
      </c>
      <c r="G44" s="22">
        <f>SUMIF(TransactionsTable500[Country],"uae",TransactionsTable500[Net Sales])</f>
        <v>539.26999999999987</v>
      </c>
      <c r="H44" s="22">
        <f ca="1">SUMIF(city,"uae",TransactionsTable500[Profit])</f>
        <v>397.83000000000004</v>
      </c>
      <c r="I44" s="22">
        <f>COUNTIF(city,"uae")</f>
        <v>51</v>
      </c>
      <c r="J44" s="23">
        <f ca="1">AVERAGEIF(city,"uae",TransactionsTable500[Customer Rating])</f>
        <v>3.96</v>
      </c>
      <c r="K44" s="15"/>
      <c r="L44" s="15"/>
      <c r="M44" s="15"/>
      <c r="N44" s="15"/>
      <c r="O44" s="15"/>
      <c r="P44" s="15"/>
      <c r="Q44" s="15"/>
      <c r="R44" s="16"/>
    </row>
    <row r="45" spans="1:18" ht="18.75" x14ac:dyDescent="0.25">
      <c r="A45" s="14"/>
      <c r="B45" s="15"/>
      <c r="C45" s="15"/>
      <c r="D45" s="15"/>
      <c r="E45" s="15"/>
      <c r="F45" s="25" t="s">
        <v>70</v>
      </c>
      <c r="G45" s="22">
        <f>SUMIF(TransactionsTable500[Country],"uk",TransactionsTable500[Net Sales])</f>
        <v>1150.4500000000005</v>
      </c>
      <c r="H45" s="22">
        <f ca="1">SUMIF(city,"uk",TransactionsTable500[Profit])</f>
        <v>622.40999999999985</v>
      </c>
      <c r="I45" s="22">
        <f>COUNTIF(city,"uk")</f>
        <v>94</v>
      </c>
      <c r="J45" s="23">
        <f ca="1">AVERAGEIF(city,"uk",TransactionsTable500[Customer Rating])</f>
        <v>4.1382978723404253</v>
      </c>
      <c r="K45" s="15"/>
      <c r="L45" s="15"/>
      <c r="M45" s="15"/>
      <c r="N45" s="15"/>
      <c r="O45" s="15"/>
      <c r="P45" s="15"/>
      <c r="Q45" s="15"/>
      <c r="R45" s="16"/>
    </row>
    <row r="46" spans="1:18" ht="18.75" x14ac:dyDescent="0.25">
      <c r="A46" s="14"/>
      <c r="B46" s="15"/>
      <c r="C46" s="15"/>
      <c r="D46" s="15"/>
      <c r="E46" s="15"/>
      <c r="F46" s="25" t="s">
        <v>61</v>
      </c>
      <c r="G46" s="22">
        <f>SUMIF(TransactionsTable500[Country],"usa",TransactionsTable500[Net Sales])</f>
        <v>1691.6399999999996</v>
      </c>
      <c r="H46" s="22">
        <f ca="1">SUMIF(city,"usa",TransactionsTable500[Profit])</f>
        <v>919.18000000000006</v>
      </c>
      <c r="I46" s="22">
        <f>COUNTIF(city,"usa")</f>
        <v>135</v>
      </c>
      <c r="J46" s="23">
        <f ca="1">AVERAGEIF(city,"usa",TransactionsTable500[Customer Rating])</f>
        <v>4.0962962962962965</v>
      </c>
      <c r="K46" s="15"/>
      <c r="L46" s="15"/>
      <c r="M46" s="15"/>
      <c r="N46" s="15"/>
      <c r="O46" s="15"/>
      <c r="P46" s="15"/>
      <c r="Q46" s="15"/>
      <c r="R46" s="16"/>
    </row>
    <row r="47" spans="1:18" x14ac:dyDescent="0.25">
      <c r="A47" s="19"/>
      <c r="B47" s="20"/>
      <c r="C47" s="20"/>
      <c r="D47" s="20"/>
      <c r="E47" s="20"/>
      <c r="F47" s="20"/>
      <c r="G47" s="20"/>
      <c r="H47" s="20"/>
      <c r="I47" s="20"/>
      <c r="J47" s="20"/>
      <c r="K47" s="20"/>
      <c r="L47" s="20"/>
      <c r="M47" s="20"/>
      <c r="N47" s="20"/>
      <c r="O47" s="20"/>
      <c r="P47" s="20"/>
      <c r="Q47" s="20"/>
      <c r="R47" s="21"/>
    </row>
  </sheetData>
  <mergeCells count="6">
    <mergeCell ref="O6:P6"/>
    <mergeCell ref="E2:N4"/>
    <mergeCell ref="C6:D6"/>
    <mergeCell ref="F6:G6"/>
    <mergeCell ref="I6:J6"/>
    <mergeCell ref="L6: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heetViews>
  <sheetFormatPr defaultRowHeight="15" x14ac:dyDescent="0.25"/>
  <cols>
    <col min="1" max="1" width="18" customWidth="1"/>
    <col min="2" max="2" width="70" customWidth="1"/>
  </cols>
  <sheetData>
    <row r="1" spans="1:2" x14ac:dyDescent="0.25">
      <c r="A1" s="5" t="s">
        <v>986</v>
      </c>
      <c r="B1" s="5" t="s">
        <v>987</v>
      </c>
    </row>
    <row r="2" spans="1:2" x14ac:dyDescent="0.25">
      <c r="A2" s="6" t="s">
        <v>0</v>
      </c>
      <c r="B2" s="6" t="s">
        <v>988</v>
      </c>
    </row>
    <row r="3" spans="1:2" x14ac:dyDescent="0.25">
      <c r="A3" s="6" t="s">
        <v>1</v>
      </c>
      <c r="B3" s="6" t="s">
        <v>989</v>
      </c>
    </row>
    <row r="4" spans="1:2" x14ac:dyDescent="0.25">
      <c r="A4" s="6" t="s">
        <v>2</v>
      </c>
      <c r="B4" s="6" t="s">
        <v>990</v>
      </c>
    </row>
    <row r="5" spans="1:2" x14ac:dyDescent="0.25">
      <c r="A5" s="6" t="s">
        <v>3</v>
      </c>
      <c r="B5" s="6" t="s">
        <v>991</v>
      </c>
    </row>
    <row r="6" spans="1:2" x14ac:dyDescent="0.25">
      <c r="A6" s="6" t="s">
        <v>4</v>
      </c>
      <c r="B6" s="6" t="s">
        <v>992</v>
      </c>
    </row>
    <row r="7" spans="1:2" x14ac:dyDescent="0.25">
      <c r="A7" s="6" t="s">
        <v>5</v>
      </c>
      <c r="B7" s="6" t="s">
        <v>993</v>
      </c>
    </row>
    <row r="8" spans="1:2" x14ac:dyDescent="0.25">
      <c r="A8" s="6" t="s">
        <v>6</v>
      </c>
      <c r="B8" s="6" t="s">
        <v>994</v>
      </c>
    </row>
    <row r="9" spans="1:2" x14ac:dyDescent="0.25">
      <c r="A9" s="6" t="s">
        <v>7</v>
      </c>
      <c r="B9" s="6" t="s">
        <v>995</v>
      </c>
    </row>
    <row r="10" spans="1:2" x14ac:dyDescent="0.25">
      <c r="A10" s="6" t="s">
        <v>8</v>
      </c>
      <c r="B10" s="6" t="s">
        <v>996</v>
      </c>
    </row>
    <row r="11" spans="1:2" x14ac:dyDescent="0.25">
      <c r="A11" s="6" t="s">
        <v>9</v>
      </c>
      <c r="B11" s="6" t="s">
        <v>997</v>
      </c>
    </row>
    <row r="12" spans="1:2" x14ac:dyDescent="0.25">
      <c r="A12" s="6" t="s">
        <v>10</v>
      </c>
      <c r="B12" s="6" t="s">
        <v>998</v>
      </c>
    </row>
    <row r="13" spans="1:2" x14ac:dyDescent="0.25">
      <c r="A13" s="6" t="s">
        <v>11</v>
      </c>
      <c r="B13" s="6" t="s">
        <v>999</v>
      </c>
    </row>
    <row r="14" spans="1:2" x14ac:dyDescent="0.25">
      <c r="A14" s="6" t="s">
        <v>12</v>
      </c>
      <c r="B14" s="6" t="s">
        <v>1000</v>
      </c>
    </row>
    <row r="15" spans="1:2" x14ac:dyDescent="0.25">
      <c r="A15" s="6" t="s">
        <v>13</v>
      </c>
      <c r="B15" s="6" t="s">
        <v>1001</v>
      </c>
    </row>
    <row r="16" spans="1:2" x14ac:dyDescent="0.25">
      <c r="A16" s="6" t="s">
        <v>14</v>
      </c>
      <c r="B16" s="6" t="s">
        <v>1002</v>
      </c>
    </row>
    <row r="17" spans="1:2" x14ac:dyDescent="0.25">
      <c r="A17" s="6" t="s">
        <v>15</v>
      </c>
      <c r="B17" s="6" t="s">
        <v>1003</v>
      </c>
    </row>
    <row r="18" spans="1:2" x14ac:dyDescent="0.25">
      <c r="A18" s="6" t="s">
        <v>16</v>
      </c>
      <c r="B18" s="6" t="s">
        <v>1004</v>
      </c>
    </row>
    <row r="19" spans="1:2" x14ac:dyDescent="0.25">
      <c r="A19" s="6" t="s">
        <v>17</v>
      </c>
      <c r="B19" s="6" t="s">
        <v>1005</v>
      </c>
    </row>
    <row r="20" spans="1:2" x14ac:dyDescent="0.25">
      <c r="A20" s="6" t="s">
        <v>18</v>
      </c>
      <c r="B20" s="6" t="s">
        <v>1006</v>
      </c>
    </row>
    <row r="21" spans="1:2" x14ac:dyDescent="0.25">
      <c r="A21" s="6" t="s">
        <v>19</v>
      </c>
      <c r="B21" s="6" t="s">
        <v>1007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Transactions</vt:lpstr>
      <vt:lpstr>calculation</vt:lpstr>
      <vt:lpstr>Dashboard</vt:lpstr>
      <vt:lpstr>Data Dictionary</vt:lpstr>
      <vt:lpstr>city</vt:lpstr>
      <vt:lpstr>net</vt:lpstr>
      <vt:lpstr>or</vt:lpstr>
      <vt:lpstr>order</vt:lpstr>
      <vt:lpstr>orders</vt:lpstr>
      <vt:lpstr>profit</vt:lpstr>
      <vt:lpstr>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2026-09-23T09:46:07Z</dcterms:created>
  <dcterms:modified xsi:type="dcterms:W3CDTF">2026-09-26T11:32:23Z</dcterms:modified>
</cp:coreProperties>
</file>