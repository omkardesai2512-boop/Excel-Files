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A644D8-00D6-4E8C-8003-C8E496AC25C4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Overview" sheetId="1" r:id="rId1"/>
    <sheet name="Greater than 80" sheetId="2" r:id="rId2"/>
    <sheet name="Less than 80" sheetId="3" r:id="rId3"/>
    <sheet name="Equal to" sheetId="4" r:id="rId4"/>
    <sheet name="Not Equal to" sheetId="5" r:id="rId5"/>
    <sheet name="COUNTA" sheetId="6" r:id="rId6"/>
    <sheet name="COUNTIFS" sheetId="8" r:id="rId7"/>
  </sheets>
  <definedNames>
    <definedName name="_xlnm._FilterDatabase" localSheetId="1" hidden="1">'Greater than 80'!$B$4:$E$13</definedName>
  </definedNames>
  <calcPr calcId="191029"/>
</workbook>
</file>

<file path=xl/calcChain.xml><?xml version="1.0" encoding="utf-8"?>
<calcChain xmlns="http://schemas.openxmlformats.org/spreadsheetml/2006/main">
  <c r="D16" i="6" l="1"/>
  <c r="D15" i="6"/>
  <c r="D18" i="8"/>
  <c r="D16" i="4"/>
  <c r="D16" i="3"/>
  <c r="D15" i="2"/>
  <c r="D16" i="2"/>
  <c r="E15" i="1"/>
  <c r="D15" i="8"/>
  <c r="D15" i="5"/>
  <c r="D15" i="4"/>
  <c r="D15" i="3"/>
  <c r="D15" i="1"/>
  <c r="F7" i="2"/>
  <c r="F8" i="2"/>
  <c r="F9" i="2"/>
  <c r="F10" i="2"/>
  <c r="F11" i="2"/>
  <c r="F12" i="2"/>
  <c r="F13" i="2"/>
  <c r="F6" i="2"/>
  <c r="D16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<sst xmlns="http://schemas.openxmlformats.org/spreadsheetml/2006/main" count="170" uniqueCount="48">
  <si>
    <t>Count Non Blank Cells</t>
  </si>
  <si>
    <t>Student Name</t>
  </si>
  <si>
    <t>ID</t>
  </si>
  <si>
    <t>Securing Marks</t>
  </si>
  <si>
    <t>Physics</t>
  </si>
  <si>
    <t>Chemistry</t>
  </si>
  <si>
    <t>Bob</t>
  </si>
  <si>
    <t>S5001</t>
  </si>
  <si>
    <t>S5002</t>
  </si>
  <si>
    <t>John</t>
  </si>
  <si>
    <t>S5003</t>
  </si>
  <si>
    <t>=COUNT(range)</t>
  </si>
  <si>
    <t xml:space="preserve"> When we have to count only numerical</t>
  </si>
  <si>
    <t>S5004</t>
  </si>
  <si>
    <t>=COUNTA(range)</t>
  </si>
  <si>
    <t>When we have to count number and text</t>
  </si>
  <si>
    <t>Catthy</t>
  </si>
  <si>
    <t>S5005</t>
  </si>
  <si>
    <t>=COUNTBLANK(range)</t>
  </si>
  <si>
    <t>When we have to count blank cellls</t>
  </si>
  <si>
    <t>h</t>
  </si>
  <si>
    <t>S5006</t>
  </si>
  <si>
    <t>=COUNTIF(range,criteria)</t>
  </si>
  <si>
    <t>When we have to count with one condition</t>
  </si>
  <si>
    <t>Vinchant</t>
  </si>
  <si>
    <t xml:space="preserve">=COUNTIFS(range,criteria) </t>
  </si>
  <si>
    <t>When we have to count with more than one condition</t>
  </si>
  <si>
    <t>Joe</t>
  </si>
  <si>
    <t>S5008</t>
  </si>
  <si>
    <t>Total Non Blank Cells</t>
  </si>
  <si>
    <t>Total Blank Cells</t>
  </si>
  <si>
    <t>Count Cells Whose Value is Greater Than 80</t>
  </si>
  <si>
    <t>Mask</t>
  </si>
  <si>
    <t>Ema</t>
  </si>
  <si>
    <t>Austin</t>
  </si>
  <si>
    <t>S5007</t>
  </si>
  <si>
    <t>Cells Value Greater Than 80</t>
  </si>
  <si>
    <t>Count Cells Whose Value is Less Than 80</t>
  </si>
  <si>
    <t>Cells Value Less Than 80</t>
  </si>
  <si>
    <t>Count Cells Whose Value is Equal to 80</t>
  </si>
  <si>
    <t>Cells Value Equal to 80</t>
  </si>
  <si>
    <t>Count Cells Whose Value is Not Equal to Each Other</t>
  </si>
  <si>
    <t>"&lt;&gt;"</t>
  </si>
  <si>
    <t>"= 80"</t>
  </si>
  <si>
    <t>Cells Value Not Equal to</t>
  </si>
  <si>
    <t>COUNTA Function to Count Non Blank Cells</t>
  </si>
  <si>
    <t>COUNTIFS Function to Count Non Blank Cells</t>
  </si>
  <si>
    <t xml:space="preserve">Total Non Blank Cells between 75 to 95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</si>
</sst>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quotePrefix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17"/>
  <sheetViews>
    <sheetView showGridLines="0" topLeftCell="A2" zoomScale="94" zoomScaleNormal="130" workbookViewId="0">
      <selection activeCell="F11" sqref="F11"/>
    </sheetView>
  </sheetViews>
  <sheetFormatPr defaultColWidth="9.140625" defaultRowHeight="20.100000000000001" customHeight="1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43.140625" style="1" customWidth="1"/>
    <col min="7" max="7" width="9.5703125" style="1" customWidth="1"/>
    <col min="8" max="8" width="16.42578125" style="1" customWidth="1"/>
    <col min="9" max="16384" width="9.140625" style="1"/>
  </cols>
  <sheetData>
    <row r="2" spans="2:31" ht="20.100000000000001" customHeight="1">
      <c r="B2" s="8" t="s">
        <v>0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6</v>
      </c>
      <c r="C6" s="4" t="s">
        <v>7</v>
      </c>
      <c r="D6" s="4">
        <v>79</v>
      </c>
      <c r="E6" s="4">
        <v>76</v>
      </c>
      <c r="F6">
        <f>COUNT(D6:E13)</f>
        <v>16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99</v>
      </c>
      <c r="E7" s="5">
        <v>94</v>
      </c>
      <c r="F7">
        <f>COUNTA(D6:E13)</f>
        <v>16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45</v>
      </c>
      <c r="E8" s="4">
        <v>79</v>
      </c>
      <c r="F8">
        <f>COUNTBLANK(D6:E13)</f>
        <v>0</v>
      </c>
      <c r="G8" s="7" t="s">
        <v>11</v>
      </c>
      <c r="H8"/>
      <c r="I8" s="7" t="s">
        <v>12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6</v>
      </c>
      <c r="C9" s="4" t="s">
        <v>13</v>
      </c>
      <c r="D9" s="4">
        <v>0</v>
      </c>
      <c r="E9" s="4">
        <v>75</v>
      </c>
      <c r="F9">
        <f>COUNTIF(B6:E13,"&gt;85")</f>
        <v>7</v>
      </c>
      <c r="G9" s="7" t="s">
        <v>14</v>
      </c>
      <c r="H9"/>
      <c r="I9" t="s">
        <v>15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5">
        <v>93</v>
      </c>
      <c r="E10" s="5">
        <v>86</v>
      </c>
      <c r="F10">
        <f>COUNTIF(B6:B13,"=Bob")</f>
        <v>3</v>
      </c>
      <c r="G10" s="7" t="s">
        <v>18</v>
      </c>
      <c r="H10"/>
      <c r="I10" t="s">
        <v>19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20</v>
      </c>
      <c r="C11" s="4" t="s">
        <v>21</v>
      </c>
      <c r="D11" s="5">
        <v>89</v>
      </c>
      <c r="E11" s="4">
        <v>0</v>
      </c>
      <c r="F11">
        <f>COUNTIFS(B6:B13,"=Bob",D6:D13,"&gt;75")</f>
        <v>2</v>
      </c>
      <c r="G11" s="7" t="s">
        <v>22</v>
      </c>
      <c r="H11"/>
      <c r="I11" t="s">
        <v>23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/>
      <c r="D12" s="4">
        <v>75</v>
      </c>
      <c r="E12" s="5">
        <v>94</v>
      </c>
      <c r="F12"/>
      <c r="G12" s="7" t="s">
        <v>25</v>
      </c>
      <c r="H12"/>
      <c r="I12" t="s">
        <v>26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5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2" t="s">
        <v>29</v>
      </c>
      <c r="C15" s="12"/>
      <c r="D15" s="6">
        <f>COUNT(D6:E13)</f>
        <v>16</v>
      </c>
      <c r="E15" s="1">
        <f>COUNT(D6:D13,E6:E13)</f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20.100000000000001" customHeight="1">
      <c r="B16" s="13" t="s">
        <v>30</v>
      </c>
      <c r="C16" s="13"/>
      <c r="D16" s="6">
        <f>COUNTBLANK(D6:E13)</f>
        <v>0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08.7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B16:C16"/>
    <mergeCell ref="B4:B5"/>
    <mergeCell ref="C4:C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17"/>
  <sheetViews>
    <sheetView showGridLines="0" zoomScale="81" zoomScaleNormal="81" workbookViewId="0">
      <selection activeCell="D16" sqref="D16:E16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17.57031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31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>
        <f>SUM(D6:E6)</f>
        <v>150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>
        <f t="shared" ref="F7:F13" si="0">SUM(D7:E7)</f>
        <v>175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>
        <f t="shared" si="0"/>
        <v>163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>
        <f t="shared" si="0"/>
        <v>160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>
        <f t="shared" si="0"/>
        <v>179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>
        <f t="shared" si="0"/>
        <v>170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>
        <f t="shared" si="0"/>
        <v>169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>
        <f t="shared" si="0"/>
        <v>167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3" t="s">
        <v>36</v>
      </c>
      <c r="C15" s="13"/>
      <c r="D15" s="14">
        <f>COUNTIF(D6:D13,"&gt;80")</f>
        <v>6</v>
      </c>
      <c r="E15" s="14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>
      <c r="B16"/>
      <c r="C16"/>
      <c r="D16" s="25">
        <f>COUNTIF(E6:E13,"&gt;80")</f>
        <v>5</v>
      </c>
      <c r="E16" s="25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4:31" ht="16.5" customHeight="1">
      <c r="D17" s="24"/>
      <c r="E17" s="24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8">
    <mergeCell ref="D17:E17"/>
    <mergeCell ref="D16:E16"/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E17"/>
  <sheetViews>
    <sheetView showGridLines="0" topLeftCell="A5" workbookViewId="0">
      <selection activeCell="D17" sqref="D17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37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3" t="s">
        <v>38</v>
      </c>
      <c r="C15" s="13"/>
      <c r="D15" s="14">
        <f>COUNTIF(D6:E13,"&lt;80")</f>
        <v>5</v>
      </c>
      <c r="E15" s="14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>
      <c r="B16"/>
      <c r="C16"/>
      <c r="D16" s="25">
        <f>COUNTIF(E6:E13,"&lt;80")</f>
        <v>3</v>
      </c>
      <c r="E16" s="25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7">
    <mergeCell ref="D16:E16"/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E17"/>
  <sheetViews>
    <sheetView showGridLines="0" topLeftCell="A5" workbookViewId="0">
      <selection activeCell="D15" sqref="D15:E15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20.28515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39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80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80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3" t="s">
        <v>40</v>
      </c>
      <c r="C15" s="13"/>
      <c r="D15" s="15">
        <f>COUNTIF(D6:E13,"=80")</f>
        <v>3</v>
      </c>
      <c r="E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>
      <c r="B16"/>
      <c r="C16"/>
      <c r="D16" s="25">
        <f>COUNTIF(E6:E13,"=80")</f>
        <v>2</v>
      </c>
      <c r="E16" s="25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7">
    <mergeCell ref="D16:E16"/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E17"/>
  <sheetViews>
    <sheetView showGridLines="0" topLeftCell="A3" zoomScale="91" zoomScaleNormal="91" workbookViewId="0">
      <selection activeCell="D16" sqref="D16"/>
    </sheetView>
  </sheetViews>
  <sheetFormatPr defaultColWidth="9.140625" defaultRowHeight="15"/>
  <cols>
    <col min="1" max="1" width="3" style="1" customWidth="1"/>
    <col min="2" max="2" width="19.140625" style="1" customWidth="1"/>
    <col min="3" max="3" width="13.4257812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41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 s="14"/>
      <c r="J6" s="14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/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/>
      <c r="F8"/>
      <c r="G8"/>
      <c r="H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>
        <v>85</v>
      </c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/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/>
      <c r="E11" s="4">
        <v>88</v>
      </c>
      <c r="F11"/>
      <c r="G11"/>
      <c r="H11" t="s">
        <v>42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 t="s">
        <v>35</v>
      </c>
      <c r="D12" s="4">
        <v>75</v>
      </c>
      <c r="E12" s="4">
        <v>94</v>
      </c>
      <c r="F12"/>
      <c r="G12"/>
      <c r="H12" t="s">
        <v>43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3" t="s">
        <v>44</v>
      </c>
      <c r="C15" s="13"/>
      <c r="D15" s="14">
        <f>COUNTIF(D6:E13,"&lt;&gt;80")</f>
        <v>16</v>
      </c>
      <c r="E15" s="14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07.25" customHeight="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6.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7">
    <mergeCell ref="B2:E2"/>
    <mergeCell ref="D4:E4"/>
    <mergeCell ref="I6:J6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E17"/>
  <sheetViews>
    <sheetView showGridLines="0" topLeftCell="B1" workbookViewId="0">
      <selection activeCell="D16" sqref="D16"/>
    </sheetView>
  </sheetViews>
  <sheetFormatPr defaultColWidth="9.140625" defaultRowHeight="15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43.14062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45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2:31" ht="20.100000000000001" customHeight="1">
      <c r="B6" s="4" t="s">
        <v>32</v>
      </c>
      <c r="C6" s="4" t="s">
        <v>7</v>
      </c>
      <c r="D6" s="4">
        <v>74</v>
      </c>
      <c r="E6" s="4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ht="20.100000000000001" customHeight="1">
      <c r="B7" s="4" t="s">
        <v>6</v>
      </c>
      <c r="C7" s="4" t="s">
        <v>8</v>
      </c>
      <c r="D7" s="4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ht="20.100000000000001" customHeight="1">
      <c r="B8" s="4" t="s">
        <v>9</v>
      </c>
      <c r="C8" s="4" t="s">
        <v>10</v>
      </c>
      <c r="D8" s="4">
        <v>84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ht="20.100000000000001" customHeight="1">
      <c r="B9" s="4" t="s">
        <v>33</v>
      </c>
      <c r="C9" s="4" t="s">
        <v>13</v>
      </c>
      <c r="D9" s="4"/>
      <c r="E9" s="4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ht="20.100000000000001" customHeight="1">
      <c r="B10" s="4" t="s">
        <v>16</v>
      </c>
      <c r="C10" s="4" t="s">
        <v>17</v>
      </c>
      <c r="D10" s="4">
        <v>93</v>
      </c>
      <c r="E10" s="4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20.100000000000001" customHeight="1">
      <c r="B11" s="4" t="s">
        <v>34</v>
      </c>
      <c r="C11" s="4" t="s">
        <v>21</v>
      </c>
      <c r="D11" s="4">
        <v>82</v>
      </c>
      <c r="E11" s="4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0.100000000000001" customHeight="1">
      <c r="B12" s="4" t="s">
        <v>24</v>
      </c>
      <c r="C12" s="4"/>
      <c r="D12" s="4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ht="20.100000000000001" customHeight="1">
      <c r="B13" s="4" t="s">
        <v>27</v>
      </c>
      <c r="C13" s="4" t="s">
        <v>28</v>
      </c>
      <c r="D13" s="4">
        <v>86</v>
      </c>
      <c r="E13" s="4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2" t="s">
        <v>29</v>
      </c>
      <c r="C15" s="8"/>
      <c r="D15" s="16">
        <f>COUNTA(D6:D13,E6:E13)</f>
        <v>14</v>
      </c>
      <c r="E15" s="17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20.100000000000001" customHeight="1">
      <c r="B16"/>
      <c r="C16"/>
      <c r="D16">
        <f>COUNTA(D6:D13)</f>
        <v>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6:31" ht="108.7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E18"/>
  <sheetViews>
    <sheetView showGridLines="0" tabSelected="1" topLeftCell="A4" zoomScale="103" zoomScaleNormal="103" workbookViewId="0">
      <selection activeCell="H11" sqref="H11"/>
    </sheetView>
  </sheetViews>
  <sheetFormatPr defaultColWidth="9.140625" defaultRowHeight="15"/>
  <cols>
    <col min="1" max="1" width="3" style="1" customWidth="1"/>
    <col min="2" max="2" width="18.5703125" style="1" customWidth="1"/>
    <col min="3" max="3" width="11.7109375" style="1" customWidth="1"/>
    <col min="4" max="4" width="14.5703125" style="1" customWidth="1"/>
    <col min="5" max="5" width="16.85546875" style="1" customWidth="1"/>
    <col min="6" max="6" width="17.7109375" style="1" customWidth="1"/>
    <col min="7" max="8" width="9.5703125" style="1" customWidth="1"/>
    <col min="9" max="16384" width="9.140625" style="1"/>
  </cols>
  <sheetData>
    <row r="2" spans="2:31" ht="20.100000000000001" customHeight="1">
      <c r="B2" s="8" t="s">
        <v>46</v>
      </c>
      <c r="C2" s="9"/>
      <c r="D2" s="9"/>
      <c r="E2" s="10"/>
    </row>
    <row r="3" spans="2:31" ht="20.100000000000001" customHeight="1">
      <c r="B3" s="2"/>
    </row>
    <row r="4" spans="2:31" ht="20.100000000000001" customHeight="1">
      <c r="B4" s="11" t="s">
        <v>1</v>
      </c>
      <c r="C4" s="11" t="s">
        <v>2</v>
      </c>
      <c r="D4" s="11" t="s">
        <v>3</v>
      </c>
      <c r="E4" s="11"/>
      <c r="F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31" ht="20.100000000000001" customHeight="1">
      <c r="B5" s="11"/>
      <c r="C5" s="11"/>
      <c r="D5" s="3" t="s">
        <v>4</v>
      </c>
      <c r="E5" s="3" t="s">
        <v>5</v>
      </c>
      <c r="F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31" ht="20.100000000000001" customHeight="1">
      <c r="B6" s="4" t="s">
        <v>32</v>
      </c>
      <c r="C6" s="4" t="s">
        <v>7</v>
      </c>
      <c r="D6" s="5">
        <v>74</v>
      </c>
      <c r="E6" s="5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31" ht="20.100000000000001" customHeight="1">
      <c r="B7" s="4" t="s">
        <v>6</v>
      </c>
      <c r="C7" s="4" t="s">
        <v>8</v>
      </c>
      <c r="D7" s="5">
        <v>81</v>
      </c>
      <c r="E7" s="4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31" ht="20.100000000000001" customHeight="1">
      <c r="B8" s="4" t="s">
        <v>9</v>
      </c>
      <c r="C8" s="4" t="s">
        <v>10</v>
      </c>
      <c r="D8" s="5">
        <v>84</v>
      </c>
      <c r="E8" s="4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31" ht="20.100000000000001" customHeight="1">
      <c r="B9" s="4" t="s">
        <v>33</v>
      </c>
      <c r="C9" s="4" t="s">
        <v>13</v>
      </c>
      <c r="D9" s="4"/>
      <c r="E9" s="5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31" ht="20.100000000000001" customHeight="1">
      <c r="B10" s="4" t="s">
        <v>16</v>
      </c>
      <c r="C10" s="4" t="s">
        <v>17</v>
      </c>
      <c r="D10" s="4">
        <v>93</v>
      </c>
      <c r="E10" s="5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2:31" ht="20.100000000000001" customHeight="1">
      <c r="B11" s="4" t="s">
        <v>34</v>
      </c>
      <c r="C11" s="4" t="s">
        <v>21</v>
      </c>
      <c r="D11" s="5">
        <v>82</v>
      </c>
      <c r="E11" s="5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2:31" ht="20.100000000000001" customHeight="1">
      <c r="B12" s="4" t="s">
        <v>24</v>
      </c>
      <c r="C12" s="4"/>
      <c r="D12" s="5">
        <v>75</v>
      </c>
      <c r="E12" s="4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2:31" ht="20.100000000000001" customHeight="1">
      <c r="B13" s="4" t="s">
        <v>27</v>
      </c>
      <c r="C13" s="4" t="s">
        <v>28</v>
      </c>
      <c r="D13" s="5">
        <v>86</v>
      </c>
      <c r="E13" s="5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2:31" ht="20.100000000000001" customHeight="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20.100000000000001" customHeight="1">
      <c r="B15" s="18" t="s">
        <v>47</v>
      </c>
      <c r="C15" s="18"/>
      <c r="D15" s="20">
        <f>COUNTIFS(E6:E13,"&gt;75",E6:E13,"&lt;95")</f>
        <v>6</v>
      </c>
      <c r="E15" s="21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19.899999999999999" customHeight="1">
      <c r="B16" s="19"/>
      <c r="C16" s="19"/>
      <c r="D16" s="22"/>
      <c r="E16" s="23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4:31" ht="11.25" customHeight="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4:31">
      <c r="D18" s="24">
        <f>COUNTIFS(D6:D13,"&gt;75",E6:E13,"&lt;95")</f>
        <v>4</v>
      </c>
      <c r="E18" s="24"/>
    </row>
  </sheetData>
  <mergeCells count="7">
    <mergeCell ref="D18:E18"/>
    <mergeCell ref="B2:E2"/>
    <mergeCell ref="D4:E4"/>
    <mergeCell ref="B4:B5"/>
    <mergeCell ref="C4:C5"/>
    <mergeCell ref="B15:C16"/>
    <mergeCell ref="D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Greater than 80</vt:lpstr>
      <vt:lpstr>Less than 80</vt:lpstr>
      <vt:lpstr>Equal to</vt:lpstr>
      <vt:lpstr>Not Equal to</vt:lpstr>
      <vt:lpstr>COUNTA</vt:lpstr>
      <vt:lpstr>COUNTIFS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2022-03-06T13:44:00Z</dcterms:created>
  <dcterms:modified xsi:type="dcterms:W3CDTF">2026-08-17T18:09:56Z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3127D177FF9D4FECAED24E4B9D9B1D97_12</vt:lpwstr>
  </property>
  <property fmtid="{D5CDD505-2E9C-101B-9397-08002B2CF9AE}" pid="3" name="KSOProductBuildVer">
    <vt:lpwstr>1033-12.2.0.13215</vt:lpwstr>
  </property>
</Properties>
</file>